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helushk\Documents\ECE49022\powerdist\"/>
    </mc:Choice>
  </mc:AlternateContent>
  <xr:revisionPtr revIDLastSave="0" documentId="13_ncr:1_{87D85D04-126D-4239-8390-E45163E827C4}" xr6:coauthVersionLast="47" xr6:coauthVersionMax="47" xr10:uidLastSave="{00000000-0000-0000-0000-000000000000}"/>
  <bookViews>
    <workbookView xWindow="-120" yWindow="-120" windowWidth="29040" windowHeight="15720" xr2:uid="{C8A1BAF1-DDE4-4F80-A0F0-37276E3372A7}"/>
  </bookViews>
  <sheets>
    <sheet name="powerdistDGKY" sheetId="5" r:id="rId1"/>
    <sheet name="powerdistUNPLACED" sheetId="4" r:id="rId2"/>
    <sheet name="powerdist-all-pos" sheetId="3" r:id="rId3"/>
  </sheets>
  <definedNames>
    <definedName name="ExternalData_1" localSheetId="2" hidden="1">'powerdist-all-pos'!$A$1:$G$368</definedName>
    <definedName name="ExternalData_1" localSheetId="0" hidden="1">powerdistDGKY!$A$1:$D$25</definedName>
    <definedName name="ExternalData_1" localSheetId="1" hidden="1">powerdistUNPLACED!$A$1:$E$49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78F35-89D7-4875-A82F-F19D0578BCC0}" keepAlive="1" name="Query - powerdist-all-pos" description="Connection to the 'powerdist-all-pos' query in the workbook." type="5" refreshedVersion="8" background="1" saveData="1">
    <dbPr connection="Provider=Microsoft.Mashup.OleDb.1;Data Source=$Workbook$;Location=powerdist-all-pos;Extended Properties=&quot;&quot;" command="SELECT * FROM [powerdist-all-pos]"/>
  </connection>
  <connection id="2" xr16:uid="{0F449D8C-DB24-4CEE-9DA5-3463926DB868}" keepAlive="1" name="Query - powerdistUNPLACED" description="Connection to the 'powerdistUNPLACED' query in the workbook." type="5" refreshedVersion="8" background="1" saveData="1">
    <dbPr connection="Provider=Microsoft.Mashup.OleDb.1;Data Source=$Workbook$;Location=powerdistUNPLACED;Extended Properties=&quot;&quot;" command="SELECT * FROM [powerdistUNPLACED]"/>
  </connection>
  <connection id="3" xr16:uid="{0A56215C-5B25-436E-9A9B-FDE5FCA932F5}" keepAlive="1" name="Query - powerdistUNPLACED (2)" description="Connection to the 'powerdistUNPLACED (2)' query in the workbook." type="5" refreshedVersion="8" background="1" saveData="1">
    <dbPr connection="Provider=Microsoft.Mashup.OleDb.1;Data Source=$Workbook$;Location=&quot;powerdistUNPLACED (2)&quot;;Extended Properties=&quot;&quot;" command="SELECT * FROM [powerdistUNPLACED (2)]"/>
  </connection>
  <connection id="4" xr16:uid="{9F43E3CD-68C6-4D5F-9835-48A7B47729E4}" keepAlive="1" name="Query - powerdistUNPLACED (3)" description="Connection to the 'powerdistUNPLACED (3)' query in the workbook." type="5" refreshedVersion="8" background="1" saveData="1">
    <dbPr connection="Provider=Microsoft.Mashup.OleDb.1;Data Source=$Workbook$;Location=&quot;powerdistUNPLACED (3)&quot;;Extended Properties=&quot;&quot;" command="SELECT * FROM [powerdistUNPLACED (3)]"/>
  </connection>
</connections>
</file>

<file path=xl/sharedStrings.xml><?xml version="1.0" encoding="utf-8"?>
<sst xmlns="http://schemas.openxmlformats.org/spreadsheetml/2006/main" count="1844" uniqueCount="608">
  <si>
    <t>Designator</t>
  </si>
  <si>
    <t>Comment</t>
  </si>
  <si>
    <t>Datasheet</t>
  </si>
  <si>
    <t>Footprint</t>
  </si>
  <si>
    <t>OQTY</t>
  </si>
  <si>
    <t>22p</t>
  </si>
  <si>
    <t>~</t>
  </si>
  <si>
    <t>Capacitor_SMD:C_0603_1608Metric</t>
  </si>
  <si>
    <t>C82</t>
  </si>
  <si>
    <t>270p</t>
  </si>
  <si>
    <t>C79;C80</t>
  </si>
  <si>
    <t>3.3n</t>
  </si>
  <si>
    <t>33n</t>
  </si>
  <si>
    <t>C9;C10;C14;C24;C25;C29;C39;C40;C44;C49;C50;C51;C52;C53;C54;C55;C56;C59;C60;C61;C62;C63;C64;C65;C66;C69;C70;C71;C72;C73;C74;C75;C76;C83;C84;C85;C88;C91;C93;C94;C100;C101;C102;C105;C106;C107;C110;C111;C112;C113;C114;C115;C116;C117;C118</t>
  </si>
  <si>
    <t>100n</t>
  </si>
  <si>
    <t>1u</t>
  </si>
  <si>
    <t>L6</t>
  </si>
  <si>
    <t>1.2u</t>
  </si>
  <si>
    <t>Inductor_SMD:L_Vishay_IHLP-5050</t>
  </si>
  <si>
    <t>2.2u</t>
  </si>
  <si>
    <t>L2;L3;L4;L5</t>
  </si>
  <si>
    <t>3.3u</t>
  </si>
  <si>
    <t>L1</t>
  </si>
  <si>
    <t>5.6u</t>
  </si>
  <si>
    <t>10u</t>
  </si>
  <si>
    <t>22u</t>
  </si>
  <si>
    <t>47u</t>
  </si>
  <si>
    <t>R75;R91;R107</t>
  </si>
  <si>
    <t>5mΩ</t>
  </si>
  <si>
    <t>Resistor_SMD:R_1206_3216Metric</t>
  </si>
  <si>
    <t>R128</t>
  </si>
  <si>
    <t>6mΩ</t>
  </si>
  <si>
    <t>R26;R45;R64</t>
  </si>
  <si>
    <t>10mΩ</t>
  </si>
  <si>
    <t>Resistor_SMD:R_0603_1608Metric</t>
  </si>
  <si>
    <t>R125</t>
  </si>
  <si>
    <t>R69;R70;R71;R72;R73;R85;R86;R87;R88;R89;R101;R102;R103;R104;R105</t>
  </si>
  <si>
    <t>36Ω</t>
  </si>
  <si>
    <t>R1;R2;R3;R4;R10;R11;R78;R94;R110</t>
  </si>
  <si>
    <t>1kΩ</t>
  </si>
  <si>
    <t>R117</t>
  </si>
  <si>
    <t>3.4kΩ</t>
  </si>
  <si>
    <t>R77;R80;R93;R96;R109;R112;R129;R131</t>
  </si>
  <si>
    <t>10kΩ</t>
  </si>
  <si>
    <t>R5;R8;R9;R16;R127;R130;R132</t>
  </si>
  <si>
    <t>20kΩ</t>
  </si>
  <si>
    <t>R23;R42;R61</t>
  </si>
  <si>
    <t>26.1kΩ</t>
  </si>
  <si>
    <t>R25;R44;R63</t>
  </si>
  <si>
    <t>44.2kΩ</t>
  </si>
  <si>
    <t>R24;R43;R62</t>
  </si>
  <si>
    <t>57.6kΩ</t>
  </si>
  <si>
    <t>R7</t>
  </si>
  <si>
    <t>75kΩ</t>
  </si>
  <si>
    <t>R22;R41;R60</t>
  </si>
  <si>
    <t>76.8kΩ</t>
  </si>
  <si>
    <t>R29;R48;R67</t>
  </si>
  <si>
    <t>90.9kΩ</t>
  </si>
  <si>
    <t>R120;R121</t>
  </si>
  <si>
    <t>93.1kΩ</t>
  </si>
  <si>
    <t>R6</t>
  </si>
  <si>
    <t>115kΩ</t>
  </si>
  <si>
    <t>R126</t>
  </si>
  <si>
    <t>280kΩ</t>
  </si>
  <si>
    <t>R19;R38;R57</t>
  </si>
  <si>
    <t>500kΩ</t>
  </si>
  <si>
    <t>R20;R39;R58</t>
  </si>
  <si>
    <t>698kΩ</t>
  </si>
  <si>
    <t>R79;R95;R111</t>
  </si>
  <si>
    <t>750kΩ</t>
  </si>
  <si>
    <t>TH1;TH2;TH3</t>
  </si>
  <si>
    <t>103AT-11</t>
  </si>
  <si>
    <t>Connector_JST:JST_XH_B2B-XH-AM_1x02_P2.50mm_Vertical</t>
  </si>
  <si>
    <t>1N4148W</t>
  </si>
  <si>
    <t>Diode_SMD:D_SOD-123</t>
  </si>
  <si>
    <t>F1;F2;F3;F4</t>
  </si>
  <si>
    <t>3544-2</t>
  </si>
  <si>
    <t>powerdist:CONN_3544-2_KEY</t>
  </si>
  <si>
    <t>U8;U12;U13;U14;U15</t>
  </si>
  <si>
    <t>ACS724LLCTR-10AU</t>
  </si>
  <si>
    <t>http://www.allegromicro.com/~/media/Files/Datasheets/ACS724-Datasheet.ashx?la=en</t>
  </si>
  <si>
    <t>Package_SO:SOIC-8_3.9x4.9mm_P1.27mm</t>
  </si>
  <si>
    <t>U9;U16</t>
  </si>
  <si>
    <t>ADS1119IPWR</t>
  </si>
  <si>
    <t>powerdist:ADS1119</t>
  </si>
  <si>
    <t>D15;D19;D23</t>
  </si>
  <si>
    <t>BAT54CL</t>
  </si>
  <si>
    <t>Package_TO_SOT_SMD:SOT-23-3</t>
  </si>
  <si>
    <t>BQ24610</t>
  </si>
  <si>
    <t>U4;U5;U6</t>
  </si>
  <si>
    <t>BQ7791508PWR</t>
  </si>
  <si>
    <t>https://www.ti.com/lit/gpn/bq77915</t>
  </si>
  <si>
    <t>powerdist:TSSOP24_4P4X7P8_THT_TEX</t>
  </si>
  <si>
    <t>D1;D2;D3;D4</t>
  </si>
  <si>
    <t>BZT52</t>
  </si>
  <si>
    <t>BATT1;BATT2;BATT3;J1;J2;J5;J6;J7;J8;J15</t>
  </si>
  <si>
    <t>Conn_01x02_Socket</t>
  </si>
  <si>
    <t>Connector:Banana_Jack_2Pin;Connector_JST:JST_XH_B2B-XH-AM_1x02_P2.50mm_Vertical;TerminalBlock:TerminalBlock_bornier-2_P5.08mm</t>
  </si>
  <si>
    <t>BATT3S1;BATT3S2;BATT3S3;J10;J11;J12;J13</t>
  </si>
  <si>
    <t>Conn_01x03_Pin</t>
  </si>
  <si>
    <t>Connector_JST:JST_XH_B4B-XH-AM_1x04_P2.50mm_Vertical;Connector_PinHeader_2.54mm:PinHeader_1x03_P2.54mm_Vertical</t>
  </si>
  <si>
    <t>BATT4S1;BATT4S2;BATT4S3;J4;J9;J14</t>
  </si>
  <si>
    <t>Conn_01x04_Pin</t>
  </si>
  <si>
    <t>Connector_JST:JST_XH_B5B-XH-AM_1x05_P2.50mm_Vertical;Connector_PinHeader_2.54mm:PinHeader_1x04_P2.54mm_Vertical</t>
  </si>
  <si>
    <t>J3</t>
  </si>
  <si>
    <t>Conn_01x04_Socket</t>
  </si>
  <si>
    <t>Connector_PinHeader_2.54mm:PinHeader_1x04_P2.54mm_Vertical</t>
  </si>
  <si>
    <t>CSD18514Q5A</t>
  </si>
  <si>
    <t>Q5;Q6;Q7;Q8;Q31</t>
  </si>
  <si>
    <t>DMN2056U</t>
  </si>
  <si>
    <t>http://www.diodes.com/assets/Datasheets/DMN2056U.pdf</t>
  </si>
  <si>
    <t>Package_TO_SOT_SMD:SOT-23</t>
  </si>
  <si>
    <t>SW2;SW4;SW6;SW7;SW8;SW9</t>
  </si>
  <si>
    <t>JS202011CQN</t>
  </si>
  <si>
    <t>Button_Switch_THT:SW_CK_JS202011CQN_DPDT_Straight</t>
  </si>
  <si>
    <t>Q15;Q17;Q19;Q21;Q23;Q25</t>
  </si>
  <si>
    <t>L2N7002SLLT1G</t>
  </si>
  <si>
    <t>https://www.onsemi.com/pub/Collateral/NDS7002A-D.PDF</t>
  </si>
  <si>
    <t>U7</t>
  </si>
  <si>
    <t>LM5176PWP</t>
  </si>
  <si>
    <t>http://www.ti.com/lit/ds/symlink/lm5176.pdf</t>
  </si>
  <si>
    <t>Package_SO:HTSSOP-28-1EP_4.4x9.7mm_P0.65mm_EP3.4x9.5mm_ThermalVias</t>
  </si>
  <si>
    <t>D14;D18;D22</t>
  </si>
  <si>
    <t>LTST-C190GKT</t>
  </si>
  <si>
    <t>LED_SMD:LED_0603_1608Metric</t>
  </si>
  <si>
    <t>D12;D16;D20</t>
  </si>
  <si>
    <t>LTST-C190KRKT</t>
  </si>
  <si>
    <t>D13;D17;D21</t>
  </si>
  <si>
    <t>LTST-C190KSKT</t>
  </si>
  <si>
    <t>D24;D25;D26</t>
  </si>
  <si>
    <t>MBR15U60</t>
  </si>
  <si>
    <t>Package_TO_SOT_SMD:TO-277A</t>
  </si>
  <si>
    <t>SW1;SW3;SW5</t>
  </si>
  <si>
    <t>OS102011M</t>
  </si>
  <si>
    <t>Button_Switch_THT:SW_Slide_SPDT_Straight_CK_OS102011MS2Q</t>
  </si>
  <si>
    <t>Q1;Q2;Q3;Q4</t>
  </si>
  <si>
    <t>SI4178DY</t>
  </si>
  <si>
    <t>https://www.vishay.com/docs/73152/si7336adp.pdf</t>
  </si>
  <si>
    <t>Package_SO:PowerPAK_SO-8_Single</t>
  </si>
  <si>
    <t>SIS412DN</t>
  </si>
  <si>
    <t>TPS56637RPAR</t>
  </si>
  <si>
    <t>D8;D9;D10;D11;D27;D28;D29</t>
  </si>
  <si>
    <t>XBS053V13R</t>
  </si>
  <si>
    <t>Diode_SMD:D_SOD-323_HandSoldering</t>
  </si>
  <si>
    <t>Val</t>
  </si>
  <si>
    <t>Package</t>
  </si>
  <si>
    <t>Mid X</t>
  </si>
  <si>
    <t>Mid Y</t>
  </si>
  <si>
    <t>Rotation</t>
  </si>
  <si>
    <t>Layer</t>
  </si>
  <si>
    <t>C79</t>
  </si>
  <si>
    <t>C_0603_1608Metric</t>
  </si>
  <si>
    <t>bottom</t>
  </si>
  <si>
    <t>C80</t>
  </si>
  <si>
    <t>C101</t>
  </si>
  <si>
    <t>C102</t>
  </si>
  <si>
    <t>C107</t>
  </si>
  <si>
    <t>C112</t>
  </si>
  <si>
    <t>C113</t>
  </si>
  <si>
    <t>C114</t>
  </si>
  <si>
    <t>C115</t>
  </si>
  <si>
    <t>C116</t>
  </si>
  <si>
    <t>D1</t>
  </si>
  <si>
    <t>D_SOD-123</t>
  </si>
  <si>
    <t>D8</t>
  </si>
  <si>
    <t>D_SOD-323_HandSoldering</t>
  </si>
  <si>
    <t>D9</t>
  </si>
  <si>
    <t>D10</t>
  </si>
  <si>
    <t>D11</t>
  </si>
  <si>
    <t>Q1</t>
  </si>
  <si>
    <t>PowerPAK_SO-8_Single</t>
  </si>
  <si>
    <t>Q5</t>
  </si>
  <si>
    <t>SOT-23</t>
  </si>
  <si>
    <t>Q6</t>
  </si>
  <si>
    <t>Q7</t>
  </si>
  <si>
    <t>Q8</t>
  </si>
  <si>
    <t>Q31</t>
  </si>
  <si>
    <t>R1</t>
  </si>
  <si>
    <t>1k</t>
  </si>
  <si>
    <t>R_0603_1608Metric</t>
  </si>
  <si>
    <t>115k</t>
  </si>
  <si>
    <t>75k</t>
  </si>
  <si>
    <t>R10</t>
  </si>
  <si>
    <t>R11</t>
  </si>
  <si>
    <t>R16</t>
  </si>
  <si>
    <t>20k</t>
  </si>
  <si>
    <t>3.4k</t>
  </si>
  <si>
    <t>R129</t>
  </si>
  <si>
    <t>10k</t>
  </si>
  <si>
    <t>R130</t>
  </si>
  <si>
    <t>R131</t>
  </si>
  <si>
    <t>R132</t>
  </si>
  <si>
    <t>U9</t>
  </si>
  <si>
    <t>ADS1119</t>
  </si>
  <si>
    <t>U12</t>
  </si>
  <si>
    <t>SOIC-8_3.9x4.9mm_P1.27mm</t>
  </si>
  <si>
    <t>U13</t>
  </si>
  <si>
    <t>U14</t>
  </si>
  <si>
    <t>U15</t>
  </si>
  <si>
    <t>BATT1</t>
  </si>
  <si>
    <t>Banana_Jack_2Pin</t>
  </si>
  <si>
    <t>top</t>
  </si>
  <si>
    <t>BATT2</t>
  </si>
  <si>
    <t>BATT3</t>
  </si>
  <si>
    <t>BATT3S1</t>
  </si>
  <si>
    <t>JST_XH_B4B-XH-AM_1x04_P2.50mm_Vertical</t>
  </si>
  <si>
    <t>BATT3S2</t>
  </si>
  <si>
    <t>BATT3S3</t>
  </si>
  <si>
    <t>BATT4S1</t>
  </si>
  <si>
    <t>JST_XH_B5B-XH-AM_1x05_P2.50mm_Vertical</t>
  </si>
  <si>
    <t>BATT4S2</t>
  </si>
  <si>
    <t>BATT4S3</t>
  </si>
  <si>
    <t>C1</t>
  </si>
  <si>
    <t>C_1206_3216Metric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</si>
  <si>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</si>
  <si>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</si>
  <si>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</si>
  <si>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</si>
  <si>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</si>
  <si>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</si>
  <si>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</si>
  <si>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</si>
  <si>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</si>
  <si>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</si>
  <si>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</si>
  <si>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</si>
  <si>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</si>
  <si>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</si>
  <si>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</si>
  <si>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</si>
  <si>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</si>
  <si>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</si>
  <si>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</si>
  <si>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</si>
  <si>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</si>
  <si>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</si>
  <si>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</si>
  <si>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</si>
  <si>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</si>
  <si>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</si>
  <si>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</si>
  <si>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</si>
  <si>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</si>
  <si>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</si>
  <si>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</si>
  <si>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</si>
  <si>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</si>
  <si>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</si>
  <si>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</si>
  <si>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</si>
  <si>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</si>
  <si>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</si>
  <si>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</si>
  <si>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</si>
  <si>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</si>
  <si>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</si>
  <si>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</si>
  <si>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</si>
  <si>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</si>
  <si>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</si>
  <si>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</si>
  <si>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</si>
  <si>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</si>
  <si>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</si>
  <si>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</si>
  <si>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</si>
  <si>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</si>
  <si>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</si>
  <si>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</si>
  <si>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</si>
  <si>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</si>
  <si>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</si>
  <si>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</si>
  <si>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</si>
  <si>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</si>
  <si>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</si>
  <si>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</si>
  <si>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</si>
  <si>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</si>
  <si>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</si>
  <si>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</si>
  <si>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</si>
  <si>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</si>
  <si>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</si>
  <si>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</si>
  <si>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</si>
  <si>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</si>
  <si>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</si>
  <si>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</si>
  <si>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</si>
  <si>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</si>
  <si>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C83</t>
  </si>
  <si>
    <t>C84</t>
  </si>
  <si>
    <t>C85</t>
  </si>
  <si>
    <t>C86</t>
  </si>
  <si>
    <t>C87</t>
  </si>
  <si>
    <t>C88</t>
  </si>
  <si>
    <t>C89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</si>
  <si>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</si>
  <si>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</si>
  <si>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</si>
  <si>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</si>
  <si>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</si>
  <si>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</si>
  <si>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</si>
  <si>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</si>
  <si>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</si>
  <si>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39u</t>
  </si>
  <si>
    <t>C99</t>
  </si>
  <si>
    <t>C100</t>
  </si>
  <si>
    <t>C103</t>
  </si>
  <si>
    <t>C104</t>
  </si>
  <si>
    <t>C105</t>
  </si>
  <si>
    <t>C106</t>
  </si>
  <si>
    <t>C108</t>
  </si>
  <si>
    <t>C109</t>
  </si>
  <si>
    <t>C110</t>
  </si>
  <si>
    <t>C111</t>
  </si>
  <si>
    <t>C117</t>
  </si>
  <si>
    <t>C118</t>
  </si>
  <si>
    <t>D2</t>
  </si>
  <si>
    <t>D3</t>
  </si>
  <si>
    <t>D4</t>
  </si>
  <si>
    <t>D5</t>
  </si>
  <si>
    <t>D6</t>
  </si>
  <si>
    <t>D7</t>
  </si>
  <si>
    <t>D12</t>
  </si>
  <si>
    <t>LED_0603_1608Metric</t>
  </si>
  <si>
    <t>D13</t>
  </si>
  <si>
    <t>D14</t>
  </si>
  <si>
    <t>D15</t>
  </si>
  <si>
    <t>SOT-23-3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</si>
  <si>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</si>
  <si>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</si>
  <si>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</si>
  <si>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</si>
  <si>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</si>
  <si>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</si>
  <si>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</si>
  <si>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</si>
  <si>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</si>
  <si>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TO-277A</t>
  </si>
  <si>
    <t>D25</t>
  </si>
  <si>
    <t>D26</t>
  </si>
  <si>
    <t>D27</t>
  </si>
  <si>
    <t>D28</t>
  </si>
  <si>
    <t>D29</t>
  </si>
  <si>
    <t>F1</t>
  </si>
  <si>
    <t>CONN_3544-2_KEY</t>
  </si>
  <si>
    <t>F2</t>
  </si>
  <si>
    <t>F3</t>
  </si>
  <si>
    <t>F4</t>
  </si>
  <si>
    <t>J1</t>
  </si>
  <si>
    <t>TerminalBlock_bornier-2_P5.08mm</t>
  </si>
  <si>
    <t>J2</t>
  </si>
  <si>
    <t>PinHeader_1x04_P2.54mm_Vertical</t>
  </si>
  <si>
    <t>J4</t>
  </si>
  <si>
    <t>J5</t>
  </si>
  <si>
    <t>JST_XH_B2B-XH-AM_1x02_P2.50mm_Vertical</t>
  </si>
  <si>
    <t>J6</t>
  </si>
  <si>
    <t>J7</t>
  </si>
  <si>
    <t>J8</t>
  </si>
  <si>
    <t>J9</t>
  </si>
  <si>
    <t>J10</t>
  </si>
  <si>
    <t>PinHeader_1x03_P2.54mm_Vertical</t>
  </si>
  <si>
    <t>J11</t>
  </si>
  <si>
    <t>J12</t>
  </si>
  <si>
    <t>J13</t>
  </si>
  <si>
    <t>J14</t>
  </si>
  <si>
    <t>J15</t>
  </si>
  <si>
    <t>L_Vishay_IHLP-5050</t>
  </si>
  <si>
    <t>L2</t>
  </si>
  <si>
    <t>L3</t>
  </si>
  <si>
    <t>L4</t>
  </si>
  <si>
    <t>L5</t>
  </si>
  <si>
    <t>Q2</t>
  </si>
  <si>
    <t>Q3</t>
  </si>
  <si>
    <t>Q4</t>
  </si>
  <si>
    <t>Q9</t>
  </si>
  <si>
    <t>Vishay_PowerPAK_1212-8_Single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</si>
  <si>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</si>
  <si>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</si>
  <si>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</si>
  <si>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</si>
  <si>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</si>
  <si>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</si>
  <si>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</si>
  <si>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</si>
  <si>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</si>
  <si>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</si>
  <si>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</si>
  <si>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</si>
  <si>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</si>
  <si>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</si>
  <si>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</si>
  <si>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</si>
  <si>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</si>
  <si>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</si>
  <si>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TDSON-8-1</t>
  </si>
  <si>
    <t>Q28</t>
  </si>
  <si>
    <t>Q29</t>
  </si>
  <si>
    <t>Q30</t>
  </si>
  <si>
    <t>R2</t>
  </si>
  <si>
    <t>R3</t>
  </si>
  <si>
    <t>R4</t>
  </si>
  <si>
    <t>R5</t>
  </si>
  <si>
    <t>R8</t>
  </si>
  <si>
    <t>R9</t>
  </si>
  <si>
    <t>R12</t>
  </si>
  <si>
    <t>2</t>
  </si>
  <si>
    <t>R13</t>
  </si>
  <si>
    <t>895</t>
  </si>
  <si>
    <t>R14</t>
  </si>
  <si>
    <t>R15</t>
  </si>
  <si>
    <t>R17</t>
  </si>
  <si>
    <t>500k</t>
  </si>
  <si>
    <t>R18</t>
  </si>
  <si>
    <t>R19</t>
  </si>
  <si>
    <t>700k</t>
  </si>
  <si>
    <t>R20</t>
  </si>
  <si>
    <t>R21</t>
  </si>
  <si>
    <t>100k</t>
  </si>
  <si>
    <t>R22</t>
  </si>
  <si>
    <t>76.8k</t>
  </si>
  <si>
    <t>R23</t>
  </si>
  <si>
    <t>26.1k</t>
  </si>
  <si>
    <t>R24</t>
  </si>
  <si>
    <t>57.6k</t>
  </si>
  <si>
    <t>R25</t>
  </si>
  <si>
    <t>44.2k</t>
  </si>
  <si>
    <t>R26</t>
  </si>
  <si>
    <t>10m</t>
  </si>
  <si>
    <t>R_1206_3216Metric</t>
  </si>
  <si>
    <t>R27</t>
  </si>
  <si>
    <t>120k</t>
  </si>
  <si>
    <t>R28</t>
  </si>
  <si>
    <t>33k</t>
  </si>
  <si>
    <t>R29</t>
  </si>
  <si>
    <t>90.9k</t>
  </si>
  <si>
    <t>R30</t>
  </si>
  <si>
    <t>13k</t>
  </si>
  <si>
    <t>R31</t>
  </si>
  <si>
    <t>R32</t>
  </si>
  <si>
    <t>R33</t>
  </si>
  <si>
    <t>R34</t>
  </si>
  <si>
    <t>R36</t>
  </si>
  <si>
    <t>R37</t>
  </si>
  <si>
    <t>R38</t>
  </si>
  <si>
    <t>R39</t>
  </si>
  <si>
    <t>R40</t>
  </si>
  <si>
    <t>R41</t>
  </si>
  <si>
    <t>R42</t>
  </si>
  <si>
    <t>R43</t>
  </si>
  <si>
    <t>R44</t>
  </si>
  <si>
    <t>R45</t>
  </si>
  <si>
    <t>R46</t>
  </si>
  <si>
    <t>R47</t>
  </si>
  <si>
    <t>R48</t>
  </si>
  <si>
    <t>R49</t>
  </si>
  <si>
    <t>R50</t>
  </si>
  <si>
    <t>R51</t>
  </si>
  <si>
    <t>R52</t>
  </si>
  <si>
    <t>R53</t>
  </si>
  <si>
    <t>R55</t>
  </si>
  <si>
    <t>R56</t>
  </si>
  <si>
    <t>R57</t>
  </si>
  <si>
    <t>R58</t>
  </si>
  <si>
    <t>R59</t>
  </si>
  <si>
    <t>R60</t>
  </si>
  <si>
    <t>R61</t>
  </si>
  <si>
    <t>R62</t>
  </si>
  <si>
    <t>R63</t>
  </si>
  <si>
    <t>R64</t>
  </si>
  <si>
    <t>R65</t>
  </si>
  <si>
    <t>R66</t>
  </si>
  <si>
    <t>R67</t>
  </si>
  <si>
    <t>R68</t>
  </si>
  <si>
    <t>R69</t>
  </si>
  <si>
    <t>36</t>
  </si>
  <si>
    <t>R70</t>
  </si>
  <si>
    <t>R71</t>
  </si>
  <si>
    <t>R72</t>
  </si>
  <si>
    <t>R73</t>
  </si>
  <si>
    <t>R74</t>
  </si>
  <si>
    <t>100</t>
  </si>
  <si>
    <t>R75</t>
  </si>
  <si>
    <t>5m</t>
  </si>
  <si>
    <t>R76</t>
  </si>
  <si>
    <t>R77</t>
  </si>
  <si>
    <t>R78</t>
  </si>
  <si>
    <t>R79</t>
  </si>
  <si>
    <t>750k</t>
  </si>
  <si>
    <t>R80</t>
  </si>
  <si>
    <t>R81</t>
  </si>
  <si>
    <t>1M</t>
  </si>
  <si>
    <t>R82</t>
  </si>
  <si>
    <t>R83</t>
  </si>
  <si>
    <t>R84</t>
  </si>
  <si>
    <t>R85</t>
  </si>
  <si>
    <t>R86</t>
  </si>
  <si>
    <t>R87</t>
  </si>
  <si>
    <t>R88</t>
  </si>
  <si>
    <t>R89</t>
  </si>
  <si>
    <t>R90</t>
  </si>
  <si>
    <t>R91</t>
  </si>
  <si>
    <t>R92</t>
  </si>
  <si>
    <t>R93</t>
  </si>
  <si>
    <t>R94</t>
  </si>
  <si>
    <t>R95</t>
  </si>
  <si>
    <t>R96</t>
  </si>
  <si>
    <t>R97</t>
  </si>
  <si>
    <t>R98</t>
  </si>
  <si>
    <t>R99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</si>
  <si>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</si>
  <si>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</si>
  <si>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</si>
  <si>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</si>
  <si>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</si>
  <si>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</si>
  <si>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</si>
  <si>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</si>
  <si>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</si>
  <si>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</si>
  <si>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</si>
  <si>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</si>
  <si>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</si>
  <si>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</si>
  <si>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</si>
  <si>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</si>
  <si>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</si>
  <si>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R120</t>
  </si>
  <si>
    <t>93.1k</t>
  </si>
  <si>
    <t>R121</t>
  </si>
  <si>
    <t>R122</t>
  </si>
  <si>
    <t>R123</t>
  </si>
  <si>
    <t>R124</t>
  </si>
  <si>
    <t>2k</t>
  </si>
  <si>
    <t>10</t>
  </si>
  <si>
    <t>280k</t>
  </si>
  <si>
    <t>R127</t>
  </si>
  <si>
    <t>6m</t>
  </si>
  <si>
    <t>SW1</t>
  </si>
  <si>
    <t>SW_Slide_SPDT_Straight_CK_OS102011MS2Q</t>
  </si>
  <si>
    <t>SW2</t>
  </si>
  <si>
    <t>SW_CK_JS202011CQN_DPDT_Straight</t>
  </si>
  <si>
    <t>SW3</t>
  </si>
  <si>
    <t>SW4</t>
  </si>
  <si>
    <t>SW5</t>
  </si>
  <si>
    <t>SW6</t>
  </si>
  <si>
    <t>SW7</t>
  </si>
  <si>
    <t>SW8</t>
  </si>
  <si>
    <t>SW9</t>
  </si>
  <si>
    <t>TH1</t>
  </si>
  <si>
    <t>TH2</t>
  </si>
  <si>
    <t>TH3</t>
  </si>
  <si>
    <t>U1</t>
  </si>
  <si>
    <t>VQFN-24-1EP_4x4mm_P0.5mm_EP2.45x2.45mm_ThermalVias</t>
  </si>
  <si>
    <t>U2</t>
  </si>
  <si>
    <t>U3</t>
  </si>
  <si>
    <t>U4</t>
  </si>
  <si>
    <t>TSSOP24_4P4X7P8_THT_TEX</t>
  </si>
  <si>
    <t>U5</t>
  </si>
  <si>
    <t>U6</t>
  </si>
  <si>
    <t>HTSSOP-28-1EP_4.4x9.7mm_P0.65mm_EP3.4x9.5mm_ThermalVias</t>
  </si>
  <si>
    <t>U8</t>
  </si>
  <si>
    <t>U10</t>
  </si>
  <si>
    <t>CONV_TPS56637RPAR</t>
  </si>
  <si>
    <t>U11</t>
  </si>
  <si>
    <t>U16</t>
  </si>
  <si>
    <t>MFRPN</t>
  </si>
  <si>
    <t>CL10B271KC8WPNC</t>
  </si>
  <si>
    <t>GCM188R72A332KA37D</t>
  </si>
  <si>
    <t>CL10B104KB8NNNC</t>
  </si>
  <si>
    <t>IHLP5050FDER5R6MA1</t>
  </si>
  <si>
    <t>IHLP5050FDER3R3MA1</t>
  </si>
  <si>
    <t>IHLP5050FDER1R2MA1</t>
  </si>
  <si>
    <t>PE1206FKM470R005Z</t>
  </si>
  <si>
    <t>PE1206FKF470R01Z</t>
  </si>
  <si>
    <t>D1WEL1206MR006F-T5</t>
  </si>
  <si>
    <t>ERJ-3BWFR036V</t>
  </si>
  <si>
    <t>RC0603FR-0710KL</t>
  </si>
  <si>
    <t>RMCF0603FT1K00</t>
  </si>
  <si>
    <t>RC0603FR-0720KL</t>
  </si>
  <si>
    <t>RC0603FR-0726K1L</t>
  </si>
  <si>
    <t>RMCF0603FT93K1</t>
  </si>
  <si>
    <t>CRCW060375K0FKEAC</t>
  </si>
  <si>
    <t>RC0603FR-0757K6L</t>
  </si>
  <si>
    <t>CR0603-FX-9092ELF</t>
  </si>
  <si>
    <t>ERJ-3EKF7503V</t>
  </si>
  <si>
    <t>CRCW0603280KFKEA</t>
  </si>
  <si>
    <t>CR0603-FX-1153ELF</t>
  </si>
  <si>
    <t>CRCW0603698KFKEA</t>
  </si>
  <si>
    <t>TBAT54C,LM</t>
  </si>
  <si>
    <t>BZT52-C22_R1_00001</t>
  </si>
  <si>
    <t>5399-2N7002CT-ND</t>
  </si>
  <si>
    <t>BIDC</t>
  </si>
  <si>
    <t>CRGCQ0603F1M0</t>
  </si>
  <si>
    <t>DGKY</t>
  </si>
  <si>
    <t>1MΩ // 1MΩ</t>
  </si>
  <si>
    <t>ACS724LLCTR-10AU-T</t>
  </si>
  <si>
    <t>LM5176PWPR</t>
  </si>
  <si>
    <t>MBR15U60-TP</t>
  </si>
  <si>
    <t>SI4178DY-T1-GE3</t>
  </si>
  <si>
    <t>RT0603BRD073K4L</t>
  </si>
  <si>
    <t>RT0603BRE0744K2L</t>
  </si>
  <si>
    <t>RT0603BRD0776K8L</t>
  </si>
  <si>
    <t>GSFC0204</t>
  </si>
  <si>
    <t>MFR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</si>
</sst>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A5A631E-38DF-4B9A-891F-341675931FC9}" autoFormatId="16" applyNumberFormats="0" applyBorderFormats="0" applyFontFormats="0" applyPatternFormats="0" applyAlignmentFormats="0" applyWidthHeightFormats="0">
  <queryTableRefresh nextId="10" unboundColumnsRight="2">
    <queryTableFields count="6">
      <queryTableField id="1" name="Designator" tableColumnId="1"/>
      <queryTableField id="2" name="Comment" tableColumnId="2"/>
      <queryTableField id="3" name="Datasheet" tableColumnId="3"/>
      <queryTableField id="4" name="Footprint" tableColumnId="4"/>
      <queryTableField id="5" dataBound="0" tableColumnId="6"/>
      <queryTableField id="7" dataBound="0" tableColumnId="7"/>
    </queryTableFields>
    <queryTableDeletedFields count="2">
      <deletedField name="Qty"/>
      <deletedField name="OQTY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A62FA8D-8A4B-4E43-B64B-C1DB0DD39C53}" autoFormatId="16" applyNumberFormats="0" applyBorderFormats="0" applyFontFormats="0" applyPatternFormats="0" applyAlignmentFormats="0" applyWidthHeightFormats="0">
  <queryTableRefresh nextId="10" unboundColumnsRight="4">
    <queryTableFields count="9">
      <queryTableField id="1" name="Designator" tableColumnId="1"/>
      <queryTableField id="2" name="Comment" tableColumnId="2"/>
      <queryTableField id="3" name="Datasheet" tableColumnId="3"/>
      <queryTableField id="4" name="Footprint" tableColumnId="4"/>
      <queryTableField id="6" name="OQTY" tableColumnId="5"/>
      <queryTableField id="5" dataBound="0" tableColumnId="6"/>
      <queryTableField id="8" dataBound="0" tableColumnId="8"/>
      <queryTableField id="9" dataBound="0" tableColumnId="9"/>
      <queryTableField id="7" dataBound="0" tableColumnId="7"/>
    </queryTableFields>
    <queryTableDeletedFields count="1">
      <deletedField name="Qty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344DF4E-7565-4838-A019-A30CC11A1890}" autoFormatId="16" applyNumberFormats="0" applyBorderFormats="0" applyFontFormats="0" applyPatternFormats="0" applyAlignmentFormats="0" applyWidthHeightFormats="0">
  <queryTableRefresh nextId="8">
    <queryTableFields count="7">
      <queryTableField id="1" name="Designator" tableColumnId="1"/>
      <queryTableField id="2" name="Val" tableColumnId="2"/>
      <queryTableField id="3" name="Package" tableColumnId="3"/>
      <queryTableField id="4" name="Mid X" tableColumnId="4"/>
      <queryTableField id="5" name="Mid Y" tableColumnId="5"/>
      <queryTableField id="6" name="Rotation" tableColumnId="6"/>
      <queryTableField id="7" name="Lay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7E5FB9-A2FA-4FB7-86B3-73A280866DD1}" name="powerdistUNPLACED42" displayName="powerdistUNPLACED42" ref="A1:F25" tableType="queryTable" totalsRowShown="0">
  <autoFilter ref="A1:F25" xr:uid="{EDE50EC2-F527-4C45-9C10-A892E6CFA439}"/>
  <tableColumns count="6">
    <tableColumn id="1" xr3:uid="{D4FA4818-2C8B-45C1-BBCE-2C88FCDF4D01}" uniqueName="1" name="Designator" queryTableFieldId="1"/>
    <tableColumn id="2" xr3:uid="{F69C4883-C587-44B4-9F28-F875D8913A63}" uniqueName="2" name="Comment" queryTableFieldId="2"/>
    <tableColumn id="3" xr3:uid="{5D1317FF-D69F-46F5-AD33-79616362C20C}" uniqueName="3" name="Datasheet" queryTableFieldId="3"/>
    <tableColumn id="4" xr3:uid="{03D35CF0-2CDF-4A0D-BBDC-D05673885375}" uniqueName="4" name="Footprint" queryTableFieldId="4"/>
    <tableColumn id="6" xr3:uid="{7C5DD145-8609-4C08-8BBE-D6B1735E1832}" uniqueName="6" name="DGKY" queryTableFieldId="5"/>
    <tableColumn id="7" xr3:uid="{4465CFC1-D978-48FD-AE1D-EF30A102EA77}" uniqueName="7" name="MFRPN" queryTableFieldId="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3E97906-6F19-471B-B898-22AC60BC1A18}" name="powerdistUNPLACED4" displayName="powerdistUNPLACED4" ref="A1:I49" tableType="queryTable" totalsRowShown="0">
  <autoFilter ref="A1:I49" xr:uid="{EDE50EC2-F527-4C45-9C10-A892E6CFA439}"/>
  <tableColumns count="9">
    <tableColumn id="1" xr3:uid="{5C26FAC9-A869-4044-BEE4-40C6D7C5DC1B}" uniqueName="1" name="Designator" queryTableFieldId="1"/>
    <tableColumn id="2" xr3:uid="{4B765C70-F88D-4FDD-8ABB-0807C2A440F8}" uniqueName="2" name="Comment" queryTableFieldId="2"/>
    <tableColumn id="3" xr3:uid="{48592B73-565E-46A0-91A4-E4D7F9B857F6}" uniqueName="3" name="Datasheet" queryTableFieldId="3"/>
    <tableColumn id="4" xr3:uid="{D2E17A87-43E1-4D15-8486-31F73F62C6FC}" uniqueName="4" name="Footprint" queryTableFieldId="4"/>
    <tableColumn id="5" xr3:uid="{A457F00C-45F6-41B8-A2B2-7BA0514FF857}" uniqueName="5" name="OQTY" queryTableFieldId="6"/>
    <tableColumn id="6" xr3:uid="{B55496FF-3EBF-4EC9-9AE1-5552485E1ED7}" uniqueName="6" name="DGKY" queryTableFieldId="5"/>
    <tableColumn id="8" xr3:uid="{AF398614-9F24-416D-827A-D15BED3DFE69}" uniqueName="8" name="BIDC" queryTableFieldId="8"/>
    <tableColumn id="9" xr3:uid="{B3B09BBC-3B24-49A1-83A9-597CB57BCE08}" uniqueName="9" name="MFR" queryTableFieldId="9" dataDxfId="4">
      <calculatedColumnFormula>SUM(powerdistUNPLACED4[[#This Row],[DGKY]:[BIDC]])</calculatedColumnFormula>
    </tableColumn>
    <tableColumn id="7" xr3:uid="{5260D42A-CF25-4ED0-A8AF-2BF1BB17B7EC}" uniqueName="7" name="MFRPN" queryTableFieldId="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2C044A-5021-4C3C-B591-9267BA452128}" name="powerdist_all_pos" displayName="powerdist_all_pos" ref="A1:G368" tableType="queryTable" totalsRowShown="0">
  <autoFilter ref="A1:G368" xr:uid="{232C044A-5021-4C3C-B591-9267BA452128}">
    <filterColumn colId="6">
      <filters>
        <filter val="bottom"/>
      </filters>
    </filterColumn>
  </autoFilter>
  <tableColumns count="7">
    <tableColumn id="1" xr3:uid="{7E36E0C6-0E1A-42C4-8DF3-F67613489759}" uniqueName="1" name="Designator" queryTableFieldId="1" dataDxfId="3"/>
    <tableColumn id="2" xr3:uid="{FC42EC4B-C26C-4126-950B-AD177EB2B227}" uniqueName="2" name="Val" queryTableFieldId="2" dataDxfId="2"/>
    <tableColumn id="3" xr3:uid="{7F571068-5181-444A-9B32-AF0CB63D2926}" uniqueName="3" name="Package" queryTableFieldId="3" dataDxfId="1"/>
    <tableColumn id="4" xr3:uid="{85E5F6D6-FF35-4859-A023-AEE64B6B55F7}" uniqueName="4" name="Mid X" queryTableFieldId="4"/>
    <tableColumn id="5" xr3:uid="{90FBF5C1-5DEF-42EF-BF9F-4D525DAEB59E}" uniqueName="5" name="Mid Y" queryTableFieldId="5"/>
    <tableColumn id="6" xr3:uid="{9516BC7D-72B3-43B2-B865-F150F89214AD}" uniqueName="6" name="Rotation" queryTableFieldId="6"/>
    <tableColumn id="7" xr3:uid="{3F8ECEDB-0396-46D8-A267-9618EA5C64A1}" uniqueName="7" name="Layer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09EDC-05AF-4E11-A301-77E80E30ECB5}">
  <sheetPr codeName="Sheet2"/>
  <dimension ref="A1:F25"/>
  <sheetViews>
    <sheetView tabSelected="1" workbookViewId="0">
      <selection activeCell="H25" sqref="H25"/>
    </sheetView>
  </sheetViews>
  <sheetFormatPr defaultRowHeight="15" x14ac:dyDescent="0.25"/>
  <cols>
    <col min="1" max="1" width="12.140625" customWidth="1"/>
    <col min="2" max="2" width="18.140625" bestFit="1" customWidth="1"/>
    <col min="3" max="3" width="80" bestFit="1" customWidth="1"/>
    <col min="4" max="4" width="34" customWidth="1"/>
    <col min="5" max="5" width="8.28515625" bestFit="1" customWidth="1"/>
    <col min="9" max="9" width="8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597</v>
      </c>
      <c r="F1" t="s">
        <v>569</v>
      </c>
    </row>
    <row r="2" spans="1:6" x14ac:dyDescent="0.25">
      <c r="A2" t="s">
        <v>8</v>
      </c>
      <c r="B2" t="s">
        <v>9</v>
      </c>
      <c r="C2" t="s">
        <v>6</v>
      </c>
      <c r="D2" t="s">
        <v>7</v>
      </c>
      <c r="E2">
        <v>1</v>
      </c>
      <c r="F2" t="s">
        <v>570</v>
      </c>
    </row>
    <row r="3" spans="1:6" x14ac:dyDescent="0.25">
      <c r="A3" t="s">
        <v>16</v>
      </c>
      <c r="B3" t="s">
        <v>17</v>
      </c>
      <c r="C3" t="s">
        <v>6</v>
      </c>
      <c r="D3" t="s">
        <v>18</v>
      </c>
      <c r="E3">
        <v>1</v>
      </c>
      <c r="F3" t="s">
        <v>575</v>
      </c>
    </row>
    <row r="4" spans="1:6" x14ac:dyDescent="0.25">
      <c r="A4" t="s">
        <v>20</v>
      </c>
      <c r="B4" t="s">
        <v>21</v>
      </c>
      <c r="C4" t="s">
        <v>6</v>
      </c>
      <c r="D4" t="s">
        <v>18</v>
      </c>
      <c r="E4">
        <v>4</v>
      </c>
      <c r="F4" t="s">
        <v>574</v>
      </c>
    </row>
    <row r="5" spans="1:6" x14ac:dyDescent="0.25">
      <c r="A5" t="s">
        <v>22</v>
      </c>
      <c r="B5" t="s">
        <v>23</v>
      </c>
      <c r="C5" t="s">
        <v>6</v>
      </c>
      <c r="D5" t="s">
        <v>18</v>
      </c>
      <c r="E5">
        <v>1</v>
      </c>
      <c r="F5" t="s">
        <v>573</v>
      </c>
    </row>
    <row r="6" spans="1:6" x14ac:dyDescent="0.25">
      <c r="A6" t="s">
        <v>27</v>
      </c>
      <c r="B6" t="s">
        <v>28</v>
      </c>
      <c r="C6" t="s">
        <v>6</v>
      </c>
      <c r="D6" t="s">
        <v>29</v>
      </c>
      <c r="E6">
        <v>3</v>
      </c>
      <c r="F6" t="s">
        <v>576</v>
      </c>
    </row>
    <row r="7" spans="1:6" x14ac:dyDescent="0.25">
      <c r="A7" t="s">
        <v>30</v>
      </c>
      <c r="B7" t="s">
        <v>31</v>
      </c>
      <c r="C7" t="s">
        <v>6</v>
      </c>
      <c r="D7" t="s">
        <v>29</v>
      </c>
      <c r="E7">
        <v>1</v>
      </c>
      <c r="F7" t="s">
        <v>578</v>
      </c>
    </row>
    <row r="8" spans="1:6" x14ac:dyDescent="0.25">
      <c r="A8" t="s">
        <v>32</v>
      </c>
      <c r="B8" t="s">
        <v>33</v>
      </c>
      <c r="C8" t="s">
        <v>6</v>
      </c>
      <c r="D8" t="s">
        <v>29</v>
      </c>
      <c r="E8">
        <v>3</v>
      </c>
      <c r="F8" t="s">
        <v>577</v>
      </c>
    </row>
    <row r="9" spans="1:6" x14ac:dyDescent="0.25">
      <c r="A9" t="s">
        <v>40</v>
      </c>
      <c r="B9" t="s">
        <v>41</v>
      </c>
      <c r="C9" t="s">
        <v>6</v>
      </c>
      <c r="D9" t="s">
        <v>34</v>
      </c>
      <c r="E9">
        <v>1</v>
      </c>
      <c r="F9" t="s">
        <v>603</v>
      </c>
    </row>
    <row r="10" spans="1:6" x14ac:dyDescent="0.25">
      <c r="A10" t="s">
        <v>48</v>
      </c>
      <c r="B10" t="s">
        <v>49</v>
      </c>
      <c r="C10" t="s">
        <v>6</v>
      </c>
      <c r="D10" t="s">
        <v>34</v>
      </c>
      <c r="E10">
        <v>3</v>
      </c>
      <c r="F10" t="s">
        <v>604</v>
      </c>
    </row>
    <row r="11" spans="1:6" x14ac:dyDescent="0.25">
      <c r="A11" t="s">
        <v>54</v>
      </c>
      <c r="B11" t="s">
        <v>55</v>
      </c>
      <c r="C11" t="s">
        <v>6</v>
      </c>
      <c r="D11" t="s">
        <v>34</v>
      </c>
      <c r="E11">
        <v>3</v>
      </c>
      <c r="F11" t="s">
        <v>605</v>
      </c>
    </row>
    <row r="12" spans="1:6" x14ac:dyDescent="0.25">
      <c r="A12" t="s">
        <v>58</v>
      </c>
      <c r="B12" t="s">
        <v>59</v>
      </c>
      <c r="C12" t="s">
        <v>6</v>
      </c>
      <c r="D12" t="s">
        <v>34</v>
      </c>
      <c r="E12">
        <v>2</v>
      </c>
      <c r="F12" t="s">
        <v>584</v>
      </c>
    </row>
    <row r="13" spans="1:6" x14ac:dyDescent="0.25">
      <c r="A13" t="s">
        <v>60</v>
      </c>
      <c r="B13" t="s">
        <v>61</v>
      </c>
      <c r="C13" t="s">
        <v>6</v>
      </c>
      <c r="D13" t="s">
        <v>34</v>
      </c>
      <c r="E13">
        <v>1</v>
      </c>
      <c r="F13" t="s">
        <v>590</v>
      </c>
    </row>
    <row r="14" spans="1:6" x14ac:dyDescent="0.25">
      <c r="A14" t="s">
        <v>62</v>
      </c>
      <c r="B14" t="s">
        <v>63</v>
      </c>
      <c r="C14" t="s">
        <v>6</v>
      </c>
      <c r="D14" t="s">
        <v>34</v>
      </c>
      <c r="E14">
        <v>1</v>
      </c>
      <c r="F14" t="s">
        <v>589</v>
      </c>
    </row>
    <row r="15" spans="1:6" x14ac:dyDescent="0.25">
      <c r="A15" t="s">
        <v>66</v>
      </c>
      <c r="B15" t="s">
        <v>67</v>
      </c>
      <c r="C15" t="s">
        <v>6</v>
      </c>
      <c r="D15" t="s">
        <v>34</v>
      </c>
      <c r="E15">
        <v>3</v>
      </c>
      <c r="F15" t="s">
        <v>591</v>
      </c>
    </row>
    <row r="16" spans="1:6" x14ac:dyDescent="0.25">
      <c r="A16" t="s">
        <v>70</v>
      </c>
      <c r="B16" t="s">
        <v>71</v>
      </c>
      <c r="C16" t="s">
        <v>6</v>
      </c>
      <c r="D16" t="s">
        <v>72</v>
      </c>
      <c r="E16">
        <v>3</v>
      </c>
      <c r="F16" t="s">
        <v>71</v>
      </c>
    </row>
    <row r="17" spans="1:6" x14ac:dyDescent="0.25">
      <c r="A17" t="s">
        <v>75</v>
      </c>
      <c r="B17" t="s">
        <v>76</v>
      </c>
      <c r="C17" t="s">
        <v>76</v>
      </c>
      <c r="D17" t="s">
        <v>77</v>
      </c>
      <c r="E17">
        <v>4</v>
      </c>
      <c r="F17" t="s">
        <v>76</v>
      </c>
    </row>
    <row r="18" spans="1:6" x14ac:dyDescent="0.25">
      <c r="A18" t="s">
        <v>78</v>
      </c>
      <c r="B18" t="s">
        <v>599</v>
      </c>
      <c r="C18" t="s">
        <v>80</v>
      </c>
      <c r="D18" t="s">
        <v>81</v>
      </c>
      <c r="E18">
        <v>5</v>
      </c>
      <c r="F18" t="s">
        <v>599</v>
      </c>
    </row>
    <row r="19" spans="1:6" x14ac:dyDescent="0.25">
      <c r="A19" t="s">
        <v>85</v>
      </c>
      <c r="B19" t="s">
        <v>86</v>
      </c>
      <c r="C19" t="s">
        <v>6</v>
      </c>
      <c r="D19" t="s">
        <v>87</v>
      </c>
      <c r="E19">
        <v>3</v>
      </c>
      <c r="F19" t="s">
        <v>592</v>
      </c>
    </row>
    <row r="20" spans="1:6" x14ac:dyDescent="0.25">
      <c r="A20" t="s">
        <v>89</v>
      </c>
      <c r="B20" t="s">
        <v>90</v>
      </c>
      <c r="C20" t="s">
        <v>91</v>
      </c>
      <c r="D20" t="s">
        <v>92</v>
      </c>
      <c r="E20">
        <v>2</v>
      </c>
      <c r="F20" t="s">
        <v>90</v>
      </c>
    </row>
    <row r="21" spans="1:6" x14ac:dyDescent="0.25">
      <c r="A21" t="s">
        <v>93</v>
      </c>
      <c r="B21" t="s">
        <v>94</v>
      </c>
      <c r="C21" t="s">
        <v>6</v>
      </c>
      <c r="D21" t="s">
        <v>74</v>
      </c>
      <c r="E21">
        <v>4</v>
      </c>
      <c r="F21" t="s">
        <v>593</v>
      </c>
    </row>
    <row r="22" spans="1:6" x14ac:dyDescent="0.25">
      <c r="A22" t="s">
        <v>108</v>
      </c>
      <c r="B22" t="s">
        <v>606</v>
      </c>
      <c r="C22" t="s">
        <v>110</v>
      </c>
      <c r="D22" t="s">
        <v>111</v>
      </c>
      <c r="E22">
        <v>5</v>
      </c>
      <c r="F22" t="s">
        <v>606</v>
      </c>
    </row>
    <row r="23" spans="1:6" x14ac:dyDescent="0.25">
      <c r="A23" t="s">
        <v>129</v>
      </c>
      <c r="B23" t="s">
        <v>601</v>
      </c>
      <c r="C23" t="s">
        <v>6</v>
      </c>
      <c r="D23" t="s">
        <v>131</v>
      </c>
      <c r="E23">
        <v>3</v>
      </c>
      <c r="F23" t="s">
        <v>601</v>
      </c>
    </row>
    <row r="24" spans="1:6" x14ac:dyDescent="0.25">
      <c r="A24" t="s">
        <v>135</v>
      </c>
      <c r="B24" t="s">
        <v>602</v>
      </c>
      <c r="C24" t="s">
        <v>137</v>
      </c>
      <c r="D24" t="s">
        <v>138</v>
      </c>
      <c r="E24">
        <v>4</v>
      </c>
      <c r="F24" t="s">
        <v>602</v>
      </c>
    </row>
    <row r="25" spans="1:6" x14ac:dyDescent="0.25">
      <c r="A25" t="s">
        <v>141</v>
      </c>
      <c r="B25" t="s">
        <v>142</v>
      </c>
      <c r="C25" t="s">
        <v>6</v>
      </c>
      <c r="D25" t="s">
        <v>143</v>
      </c>
      <c r="E25">
        <v>10</v>
      </c>
      <c r="F25" t="s">
        <v>142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D590D-76C1-435E-A9DB-BA6114314067}">
  <sheetPr codeName="Sheet1"/>
  <dimension ref="A1:I49"/>
  <sheetViews>
    <sheetView topLeftCell="A16" workbookViewId="0">
      <selection activeCell="H41" sqref="H41"/>
    </sheetView>
  </sheetViews>
  <sheetFormatPr defaultRowHeight="15" x14ac:dyDescent="0.25"/>
  <cols>
    <col min="1" max="1" width="12.140625" customWidth="1"/>
    <col min="2" max="2" width="18.140625" bestFit="1" customWidth="1"/>
    <col min="3" max="3" width="80" bestFit="1" customWidth="1"/>
    <col min="4" max="4" width="34" customWidth="1"/>
    <col min="6" max="6" width="8.28515625" bestFit="1" customWidth="1"/>
    <col min="12" max="12" width="8.140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597</v>
      </c>
      <c r="G1" t="s">
        <v>595</v>
      </c>
      <c r="H1" t="s">
        <v>607</v>
      </c>
      <c r="I1" t="s">
        <v>569</v>
      </c>
    </row>
    <row r="2" spans="1:9" x14ac:dyDescent="0.25">
      <c r="A2" t="s">
        <v>8</v>
      </c>
      <c r="B2" t="s">
        <v>9</v>
      </c>
      <c r="C2" t="s">
        <v>6</v>
      </c>
      <c r="D2" t="s">
        <v>7</v>
      </c>
      <c r="E2">
        <v>1</v>
      </c>
      <c r="F2">
        <v>1</v>
      </c>
      <c r="G2">
        <v>0</v>
      </c>
      <c r="H2">
        <f>SUM(powerdistUNPLACED4[[#This Row],[DGKY]:[BIDC]])</f>
        <v>1</v>
      </c>
      <c r="I2" t="s">
        <v>570</v>
      </c>
    </row>
    <row r="3" spans="1:9" x14ac:dyDescent="0.25">
      <c r="A3" t="s">
        <v>10</v>
      </c>
      <c r="B3" t="s">
        <v>11</v>
      </c>
      <c r="C3" t="s">
        <v>6</v>
      </c>
      <c r="D3" t="s">
        <v>7</v>
      </c>
      <c r="E3">
        <v>2</v>
      </c>
      <c r="F3">
        <v>0</v>
      </c>
      <c r="G3">
        <v>2</v>
      </c>
      <c r="H3">
        <f>SUM(powerdistUNPLACED4[[#This Row],[DGKY]:[BIDC]])</f>
        <v>2</v>
      </c>
      <c r="I3" t="s">
        <v>571</v>
      </c>
    </row>
    <row r="4" spans="1:9" x14ac:dyDescent="0.25">
      <c r="A4" t="s">
        <v>13</v>
      </c>
      <c r="B4" t="s">
        <v>14</v>
      </c>
      <c r="C4" t="s">
        <v>6</v>
      </c>
      <c r="D4" t="s">
        <v>7</v>
      </c>
      <c r="E4">
        <v>55</v>
      </c>
      <c r="F4">
        <v>0</v>
      </c>
      <c r="G4">
        <v>8</v>
      </c>
      <c r="H4">
        <f>SUM(powerdistUNPLACED4[[#This Row],[DGKY]:[BIDC]])</f>
        <v>8</v>
      </c>
      <c r="I4" t="s">
        <v>572</v>
      </c>
    </row>
    <row r="5" spans="1:9" x14ac:dyDescent="0.25">
      <c r="A5" t="s">
        <v>16</v>
      </c>
      <c r="B5" t="s">
        <v>17</v>
      </c>
      <c r="C5" t="s">
        <v>6</v>
      </c>
      <c r="D5" t="s">
        <v>18</v>
      </c>
      <c r="E5">
        <v>1</v>
      </c>
      <c r="F5">
        <v>1</v>
      </c>
      <c r="G5">
        <v>0</v>
      </c>
      <c r="H5">
        <f>SUM(powerdistUNPLACED4[[#This Row],[DGKY]:[BIDC]])</f>
        <v>1</v>
      </c>
      <c r="I5" t="s">
        <v>575</v>
      </c>
    </row>
    <row r="6" spans="1:9" x14ac:dyDescent="0.25">
      <c r="A6" t="s">
        <v>20</v>
      </c>
      <c r="B6" t="s">
        <v>21</v>
      </c>
      <c r="C6" t="s">
        <v>6</v>
      </c>
      <c r="D6" t="s">
        <v>18</v>
      </c>
      <c r="E6">
        <v>4</v>
      </c>
      <c r="F6">
        <v>4</v>
      </c>
      <c r="G6">
        <v>0</v>
      </c>
      <c r="H6">
        <f>SUM(powerdistUNPLACED4[[#This Row],[DGKY]:[BIDC]])</f>
        <v>4</v>
      </c>
      <c r="I6" t="s">
        <v>574</v>
      </c>
    </row>
    <row r="7" spans="1:9" x14ac:dyDescent="0.25">
      <c r="A7" t="s">
        <v>22</v>
      </c>
      <c r="B7" t="s">
        <v>23</v>
      </c>
      <c r="C7" t="s">
        <v>6</v>
      </c>
      <c r="D7" t="s">
        <v>18</v>
      </c>
      <c r="E7">
        <v>1</v>
      </c>
      <c r="F7">
        <v>1</v>
      </c>
      <c r="G7">
        <v>0</v>
      </c>
      <c r="H7">
        <f>SUM(powerdistUNPLACED4[[#This Row],[DGKY]:[BIDC]])</f>
        <v>1</v>
      </c>
      <c r="I7" t="s">
        <v>573</v>
      </c>
    </row>
    <row r="8" spans="1:9" x14ac:dyDescent="0.25">
      <c r="A8" t="s">
        <v>27</v>
      </c>
      <c r="B8" t="s">
        <v>28</v>
      </c>
      <c r="C8" t="s">
        <v>6</v>
      </c>
      <c r="D8" t="s">
        <v>29</v>
      </c>
      <c r="E8">
        <v>3</v>
      </c>
      <c r="F8">
        <v>3</v>
      </c>
      <c r="G8">
        <v>0</v>
      </c>
      <c r="H8">
        <f>SUM(powerdistUNPLACED4[[#This Row],[DGKY]:[BIDC]])</f>
        <v>3</v>
      </c>
      <c r="I8" t="s">
        <v>576</v>
      </c>
    </row>
    <row r="9" spans="1:9" x14ac:dyDescent="0.25">
      <c r="A9" t="s">
        <v>30</v>
      </c>
      <c r="B9" t="s">
        <v>31</v>
      </c>
      <c r="C9" t="s">
        <v>6</v>
      </c>
      <c r="D9" t="s">
        <v>29</v>
      </c>
      <c r="E9">
        <v>1</v>
      </c>
      <c r="F9">
        <v>1</v>
      </c>
      <c r="G9">
        <v>0</v>
      </c>
      <c r="H9">
        <f>SUM(powerdistUNPLACED4[[#This Row],[DGKY]:[BIDC]])</f>
        <v>1</v>
      </c>
      <c r="I9" t="s">
        <v>578</v>
      </c>
    </row>
    <row r="10" spans="1:9" x14ac:dyDescent="0.25">
      <c r="A10" t="s">
        <v>32</v>
      </c>
      <c r="B10" t="s">
        <v>33</v>
      </c>
      <c r="C10" t="s">
        <v>6</v>
      </c>
      <c r="D10" t="s">
        <v>29</v>
      </c>
      <c r="E10">
        <v>3</v>
      </c>
      <c r="F10">
        <v>3</v>
      </c>
      <c r="G10">
        <v>0</v>
      </c>
      <c r="H10">
        <f>SUM(powerdistUNPLACED4[[#This Row],[DGKY]:[BIDC]])</f>
        <v>3</v>
      </c>
      <c r="I10" t="s">
        <v>577</v>
      </c>
    </row>
    <row r="11" spans="1:9" x14ac:dyDescent="0.25">
      <c r="A11" t="s">
        <v>36</v>
      </c>
      <c r="B11" t="s">
        <v>37</v>
      </c>
      <c r="C11" t="s">
        <v>6</v>
      </c>
      <c r="D11" t="s">
        <v>34</v>
      </c>
      <c r="E11">
        <v>15</v>
      </c>
      <c r="F11">
        <v>0</v>
      </c>
      <c r="G11">
        <v>15</v>
      </c>
      <c r="H11">
        <f>SUM(powerdistUNPLACED4[[#This Row],[DGKY]:[BIDC]])</f>
        <v>15</v>
      </c>
      <c r="I11" t="s">
        <v>579</v>
      </c>
    </row>
    <row r="12" spans="1:9" x14ac:dyDescent="0.25">
      <c r="A12" t="s">
        <v>38</v>
      </c>
      <c r="B12" t="s">
        <v>39</v>
      </c>
      <c r="C12" t="s">
        <v>6</v>
      </c>
      <c r="D12" t="s">
        <v>34</v>
      </c>
      <c r="E12">
        <v>9</v>
      </c>
      <c r="F12">
        <v>0</v>
      </c>
      <c r="G12">
        <v>3</v>
      </c>
      <c r="H12">
        <f>SUM(powerdistUNPLACED4[[#This Row],[DGKY]:[BIDC]])</f>
        <v>3</v>
      </c>
      <c r="I12" t="s">
        <v>581</v>
      </c>
    </row>
    <row r="13" spans="1:9" x14ac:dyDescent="0.25">
      <c r="A13" t="s">
        <v>40</v>
      </c>
      <c r="B13" t="s">
        <v>41</v>
      </c>
      <c r="C13" t="s">
        <v>6</v>
      </c>
      <c r="D13" t="s">
        <v>34</v>
      </c>
      <c r="E13">
        <v>1</v>
      </c>
      <c r="F13">
        <v>1</v>
      </c>
      <c r="G13">
        <v>0</v>
      </c>
      <c r="H13">
        <f>SUM(powerdistUNPLACED4[[#This Row],[DGKY]:[BIDC]])</f>
        <v>1</v>
      </c>
      <c r="I13" t="s">
        <v>603</v>
      </c>
    </row>
    <row r="14" spans="1:9" x14ac:dyDescent="0.25">
      <c r="A14" t="s">
        <v>42</v>
      </c>
      <c r="B14" t="s">
        <v>43</v>
      </c>
      <c r="C14" t="s">
        <v>6</v>
      </c>
      <c r="D14" t="s">
        <v>34</v>
      </c>
      <c r="E14">
        <v>8</v>
      </c>
      <c r="F14">
        <v>0</v>
      </c>
      <c r="G14">
        <v>2</v>
      </c>
      <c r="H14">
        <f>SUM(powerdistUNPLACED4[[#This Row],[DGKY]:[BIDC]])</f>
        <v>2</v>
      </c>
      <c r="I14" t="s">
        <v>580</v>
      </c>
    </row>
    <row r="15" spans="1:9" x14ac:dyDescent="0.25">
      <c r="A15" t="s">
        <v>44</v>
      </c>
      <c r="B15" t="s">
        <v>45</v>
      </c>
      <c r="C15" t="s">
        <v>6</v>
      </c>
      <c r="D15" t="s">
        <v>34</v>
      </c>
      <c r="E15">
        <v>7</v>
      </c>
      <c r="F15">
        <v>0</v>
      </c>
      <c r="G15">
        <v>3</v>
      </c>
      <c r="H15">
        <f>SUM(powerdistUNPLACED4[[#This Row],[DGKY]:[BIDC]])</f>
        <v>3</v>
      </c>
      <c r="I15" t="s">
        <v>582</v>
      </c>
    </row>
    <row r="16" spans="1:9" x14ac:dyDescent="0.25">
      <c r="A16" t="s">
        <v>46</v>
      </c>
      <c r="B16" t="s">
        <v>47</v>
      </c>
      <c r="C16" t="s">
        <v>6</v>
      </c>
      <c r="D16" t="s">
        <v>34</v>
      </c>
      <c r="E16">
        <v>3</v>
      </c>
      <c r="F16">
        <v>0</v>
      </c>
      <c r="G16">
        <v>3</v>
      </c>
      <c r="H16">
        <f>SUM(powerdistUNPLACED4[[#This Row],[DGKY]:[BIDC]])</f>
        <v>3</v>
      </c>
      <c r="I16" t="s">
        <v>583</v>
      </c>
    </row>
    <row r="17" spans="1:9" x14ac:dyDescent="0.25">
      <c r="A17" t="s">
        <v>48</v>
      </c>
      <c r="B17" t="s">
        <v>49</v>
      </c>
      <c r="C17" t="s">
        <v>6</v>
      </c>
      <c r="D17" t="s">
        <v>34</v>
      </c>
      <c r="E17">
        <v>3</v>
      </c>
      <c r="F17">
        <v>3</v>
      </c>
      <c r="G17">
        <v>0</v>
      </c>
      <c r="H17">
        <f>SUM(powerdistUNPLACED4[[#This Row],[DGKY]:[BIDC]])</f>
        <v>3</v>
      </c>
      <c r="I17" t="s">
        <v>604</v>
      </c>
    </row>
    <row r="18" spans="1:9" x14ac:dyDescent="0.25">
      <c r="A18" t="s">
        <v>50</v>
      </c>
      <c r="B18" t="s">
        <v>51</v>
      </c>
      <c r="C18" t="s">
        <v>6</v>
      </c>
      <c r="D18" t="s">
        <v>34</v>
      </c>
      <c r="E18">
        <v>3</v>
      </c>
      <c r="F18">
        <v>0</v>
      </c>
      <c r="G18">
        <v>3</v>
      </c>
      <c r="H18">
        <f>SUM(powerdistUNPLACED4[[#This Row],[DGKY]:[BIDC]])</f>
        <v>3</v>
      </c>
      <c r="I18" t="s">
        <v>586</v>
      </c>
    </row>
    <row r="19" spans="1:9" x14ac:dyDescent="0.25">
      <c r="A19" t="s">
        <v>52</v>
      </c>
      <c r="B19" t="s">
        <v>53</v>
      </c>
      <c r="C19" t="s">
        <v>6</v>
      </c>
      <c r="D19" t="s">
        <v>34</v>
      </c>
      <c r="E19">
        <v>1</v>
      </c>
      <c r="F19">
        <v>0</v>
      </c>
      <c r="G19">
        <v>1</v>
      </c>
      <c r="H19">
        <f>SUM(powerdistUNPLACED4[[#This Row],[DGKY]:[BIDC]])</f>
        <v>1</v>
      </c>
      <c r="I19" t="s">
        <v>585</v>
      </c>
    </row>
    <row r="20" spans="1:9" x14ac:dyDescent="0.25">
      <c r="A20" t="s">
        <v>54</v>
      </c>
      <c r="B20" t="s">
        <v>55</v>
      </c>
      <c r="C20" t="s">
        <v>6</v>
      </c>
      <c r="D20" t="s">
        <v>34</v>
      </c>
      <c r="E20">
        <v>3</v>
      </c>
      <c r="F20">
        <v>3</v>
      </c>
      <c r="G20">
        <v>0</v>
      </c>
      <c r="H20">
        <f>SUM(powerdistUNPLACED4[[#This Row],[DGKY]:[BIDC]])</f>
        <v>3</v>
      </c>
      <c r="I20" t="s">
        <v>605</v>
      </c>
    </row>
    <row r="21" spans="1:9" x14ac:dyDescent="0.25">
      <c r="A21" t="s">
        <v>56</v>
      </c>
      <c r="B21" t="s">
        <v>57</v>
      </c>
      <c r="C21" t="s">
        <v>6</v>
      </c>
      <c r="D21" t="s">
        <v>34</v>
      </c>
      <c r="E21">
        <v>3</v>
      </c>
      <c r="F21">
        <v>0</v>
      </c>
      <c r="G21">
        <v>3</v>
      </c>
      <c r="H21">
        <f>SUM(powerdistUNPLACED4[[#This Row],[DGKY]:[BIDC]])</f>
        <v>3</v>
      </c>
      <c r="I21" t="s">
        <v>587</v>
      </c>
    </row>
    <row r="22" spans="1:9" x14ac:dyDescent="0.25">
      <c r="A22" t="s">
        <v>58</v>
      </c>
      <c r="B22" t="s">
        <v>59</v>
      </c>
      <c r="C22" t="s">
        <v>6</v>
      </c>
      <c r="D22" t="s">
        <v>34</v>
      </c>
      <c r="E22">
        <v>2</v>
      </c>
      <c r="F22">
        <v>2</v>
      </c>
      <c r="G22">
        <v>0</v>
      </c>
      <c r="H22">
        <f>SUM(powerdistUNPLACED4[[#This Row],[DGKY]:[BIDC]])</f>
        <v>2</v>
      </c>
      <c r="I22" t="s">
        <v>584</v>
      </c>
    </row>
    <row r="23" spans="1:9" x14ac:dyDescent="0.25">
      <c r="A23" t="s">
        <v>60</v>
      </c>
      <c r="B23" t="s">
        <v>61</v>
      </c>
      <c r="C23" t="s">
        <v>6</v>
      </c>
      <c r="D23" t="s">
        <v>34</v>
      </c>
      <c r="E23">
        <v>1</v>
      </c>
      <c r="F23">
        <v>1</v>
      </c>
      <c r="G23">
        <v>0</v>
      </c>
      <c r="H23">
        <f>SUM(powerdistUNPLACED4[[#This Row],[DGKY]:[BIDC]])</f>
        <v>1</v>
      </c>
      <c r="I23" t="s">
        <v>590</v>
      </c>
    </row>
    <row r="24" spans="1:9" x14ac:dyDescent="0.25">
      <c r="A24" t="s">
        <v>62</v>
      </c>
      <c r="B24" t="s">
        <v>63</v>
      </c>
      <c r="C24" t="s">
        <v>6</v>
      </c>
      <c r="D24" t="s">
        <v>34</v>
      </c>
      <c r="E24">
        <v>1</v>
      </c>
      <c r="F24">
        <v>1</v>
      </c>
      <c r="G24">
        <v>0</v>
      </c>
      <c r="H24">
        <f>SUM(powerdistUNPLACED4[[#This Row],[DGKY]:[BIDC]])</f>
        <v>1</v>
      </c>
      <c r="I24" t="s">
        <v>589</v>
      </c>
    </row>
    <row r="25" spans="1:9" x14ac:dyDescent="0.25">
      <c r="A25" t="s">
        <v>64</v>
      </c>
      <c r="B25" t="s">
        <v>65</v>
      </c>
      <c r="C25" t="s">
        <v>598</v>
      </c>
      <c r="D25" t="s">
        <v>34</v>
      </c>
      <c r="E25">
        <v>3</v>
      </c>
      <c r="F25">
        <v>0</v>
      </c>
      <c r="G25">
        <v>6</v>
      </c>
      <c r="H25">
        <f>SUM(powerdistUNPLACED4[[#This Row],[DGKY]:[BIDC]])</f>
        <v>6</v>
      </c>
      <c r="I25" t="s">
        <v>596</v>
      </c>
    </row>
    <row r="26" spans="1:9" x14ac:dyDescent="0.25">
      <c r="A26" t="s">
        <v>66</v>
      </c>
      <c r="B26" t="s">
        <v>67</v>
      </c>
      <c r="C26" t="s">
        <v>6</v>
      </c>
      <c r="D26" t="s">
        <v>34</v>
      </c>
      <c r="E26">
        <v>3</v>
      </c>
      <c r="F26">
        <v>3</v>
      </c>
      <c r="G26">
        <v>0</v>
      </c>
      <c r="H26">
        <f>SUM(powerdistUNPLACED4[[#This Row],[DGKY]:[BIDC]])</f>
        <v>3</v>
      </c>
      <c r="I26" t="s">
        <v>591</v>
      </c>
    </row>
    <row r="27" spans="1:9" x14ac:dyDescent="0.25">
      <c r="A27" t="s">
        <v>68</v>
      </c>
      <c r="B27" t="s">
        <v>69</v>
      </c>
      <c r="C27" t="s">
        <v>6</v>
      </c>
      <c r="D27" t="s">
        <v>34</v>
      </c>
      <c r="E27">
        <v>3</v>
      </c>
      <c r="F27">
        <v>0</v>
      </c>
      <c r="G27">
        <v>3</v>
      </c>
      <c r="H27">
        <f>SUM(powerdistUNPLACED4[[#This Row],[DGKY]:[BIDC]])</f>
        <v>3</v>
      </c>
      <c r="I27" t="s">
        <v>588</v>
      </c>
    </row>
    <row r="28" spans="1:9" x14ac:dyDescent="0.25">
      <c r="A28" t="s">
        <v>70</v>
      </c>
      <c r="B28" t="s">
        <v>71</v>
      </c>
      <c r="C28" t="s">
        <v>6</v>
      </c>
      <c r="D28" t="s">
        <v>72</v>
      </c>
      <c r="E28">
        <v>3</v>
      </c>
      <c r="F28">
        <v>3</v>
      </c>
      <c r="G28">
        <v>0</v>
      </c>
      <c r="H28">
        <f>SUM(powerdistUNPLACED4[[#This Row],[DGKY]:[BIDC]])</f>
        <v>3</v>
      </c>
      <c r="I28" t="s">
        <v>71</v>
      </c>
    </row>
    <row r="29" spans="1:9" x14ac:dyDescent="0.25">
      <c r="A29" t="s">
        <v>75</v>
      </c>
      <c r="B29" t="s">
        <v>76</v>
      </c>
      <c r="C29" t="s">
        <v>76</v>
      </c>
      <c r="D29" t="s">
        <v>77</v>
      </c>
      <c r="E29">
        <v>4</v>
      </c>
      <c r="F29">
        <v>4</v>
      </c>
      <c r="G29">
        <v>0</v>
      </c>
      <c r="H29">
        <f>SUM(powerdistUNPLACED4[[#This Row],[DGKY]:[BIDC]])</f>
        <v>4</v>
      </c>
      <c r="I29" t="s">
        <v>76</v>
      </c>
    </row>
    <row r="30" spans="1:9" x14ac:dyDescent="0.25">
      <c r="A30" t="s">
        <v>78</v>
      </c>
      <c r="B30" t="s">
        <v>599</v>
      </c>
      <c r="C30" t="s">
        <v>80</v>
      </c>
      <c r="D30" t="s">
        <v>81</v>
      </c>
      <c r="E30">
        <v>5</v>
      </c>
      <c r="F30">
        <v>5</v>
      </c>
      <c r="G30">
        <v>0</v>
      </c>
      <c r="H30">
        <f>SUM(powerdistUNPLACED4[[#This Row],[DGKY]:[BIDC]])</f>
        <v>5</v>
      </c>
      <c r="I30" t="s">
        <v>79</v>
      </c>
    </row>
    <row r="31" spans="1:9" x14ac:dyDescent="0.25">
      <c r="A31" t="s">
        <v>82</v>
      </c>
      <c r="B31" t="s">
        <v>83</v>
      </c>
      <c r="C31" t="s">
        <v>83</v>
      </c>
      <c r="D31" t="s">
        <v>84</v>
      </c>
      <c r="E31">
        <v>2</v>
      </c>
      <c r="F31">
        <v>0</v>
      </c>
      <c r="G31">
        <v>2</v>
      </c>
      <c r="H31">
        <f>SUM(powerdistUNPLACED4[[#This Row],[DGKY]:[BIDC]])</f>
        <v>2</v>
      </c>
      <c r="I31" t="s">
        <v>83</v>
      </c>
    </row>
    <row r="32" spans="1:9" x14ac:dyDescent="0.25">
      <c r="A32" t="s">
        <v>85</v>
      </c>
      <c r="B32" t="s">
        <v>86</v>
      </c>
      <c r="C32" t="s">
        <v>6</v>
      </c>
      <c r="D32" t="s">
        <v>87</v>
      </c>
      <c r="E32">
        <v>3</v>
      </c>
      <c r="F32">
        <v>3</v>
      </c>
      <c r="G32">
        <v>0</v>
      </c>
      <c r="H32">
        <f>SUM(powerdistUNPLACED4[[#This Row],[DGKY]:[BIDC]])</f>
        <v>3</v>
      </c>
      <c r="I32" t="s">
        <v>592</v>
      </c>
    </row>
    <row r="33" spans="1:9" x14ac:dyDescent="0.25">
      <c r="A33" t="s">
        <v>89</v>
      </c>
      <c r="B33" t="s">
        <v>90</v>
      </c>
      <c r="C33" t="s">
        <v>91</v>
      </c>
      <c r="D33" t="s">
        <v>92</v>
      </c>
      <c r="E33">
        <v>3</v>
      </c>
      <c r="F33">
        <v>2</v>
      </c>
      <c r="G33">
        <v>1</v>
      </c>
      <c r="H33">
        <f>SUM(powerdistUNPLACED4[[#This Row],[DGKY]:[BIDC]])</f>
        <v>3</v>
      </c>
      <c r="I33" t="s">
        <v>90</v>
      </c>
    </row>
    <row r="34" spans="1:9" x14ac:dyDescent="0.25">
      <c r="A34" t="s">
        <v>93</v>
      </c>
      <c r="B34" t="s">
        <v>94</v>
      </c>
      <c r="C34" t="s">
        <v>6</v>
      </c>
      <c r="D34" t="s">
        <v>74</v>
      </c>
      <c r="E34">
        <v>4</v>
      </c>
      <c r="F34">
        <v>4</v>
      </c>
      <c r="G34">
        <v>0</v>
      </c>
      <c r="H34">
        <f>SUM(powerdistUNPLACED4[[#This Row],[DGKY]:[BIDC]])</f>
        <v>4</v>
      </c>
      <c r="I34" t="s">
        <v>593</v>
      </c>
    </row>
    <row r="35" spans="1:9" x14ac:dyDescent="0.25">
      <c r="A35" t="s">
        <v>95</v>
      </c>
      <c r="B35" t="s">
        <v>96</v>
      </c>
      <c r="C35" t="s">
        <v>6</v>
      </c>
      <c r="D35" t="s">
        <v>97</v>
      </c>
      <c r="E35">
        <v>10</v>
      </c>
      <c r="F35">
        <v>0</v>
      </c>
      <c r="G35">
        <v>10</v>
      </c>
      <c r="H35">
        <f>SUM(powerdistUNPLACED4[[#This Row],[DGKY]:[BIDC]])</f>
        <v>10</v>
      </c>
    </row>
    <row r="36" spans="1:9" x14ac:dyDescent="0.25">
      <c r="A36" t="s">
        <v>98</v>
      </c>
      <c r="B36" t="s">
        <v>99</v>
      </c>
      <c r="C36" t="s">
        <v>6</v>
      </c>
      <c r="D36" t="s">
        <v>100</v>
      </c>
      <c r="E36">
        <v>7</v>
      </c>
      <c r="F36">
        <v>0</v>
      </c>
      <c r="G36">
        <v>7</v>
      </c>
      <c r="H36">
        <f>SUM(powerdistUNPLACED4[[#This Row],[DGKY]:[BIDC]])</f>
        <v>7</v>
      </c>
    </row>
    <row r="37" spans="1:9" x14ac:dyDescent="0.25">
      <c r="A37" t="s">
        <v>101</v>
      </c>
      <c r="B37" t="s">
        <v>102</v>
      </c>
      <c r="C37" t="s">
        <v>6</v>
      </c>
      <c r="D37" t="s">
        <v>103</v>
      </c>
      <c r="E37">
        <v>6</v>
      </c>
      <c r="F37">
        <v>0</v>
      </c>
      <c r="G37">
        <v>6</v>
      </c>
      <c r="H37">
        <f>SUM(powerdistUNPLACED4[[#This Row],[DGKY]:[BIDC]])</f>
        <v>6</v>
      </c>
    </row>
    <row r="38" spans="1:9" x14ac:dyDescent="0.25">
      <c r="A38" t="s">
        <v>104</v>
      </c>
      <c r="B38" t="s">
        <v>105</v>
      </c>
      <c r="C38" t="s">
        <v>6</v>
      </c>
      <c r="D38" t="s">
        <v>106</v>
      </c>
      <c r="E38">
        <v>1</v>
      </c>
      <c r="F38">
        <v>0</v>
      </c>
      <c r="G38">
        <v>1</v>
      </c>
      <c r="H38">
        <f>SUM(powerdistUNPLACED4[[#This Row],[DGKY]:[BIDC]])</f>
        <v>1</v>
      </c>
    </row>
    <row r="39" spans="1:9" x14ac:dyDescent="0.25">
      <c r="A39" t="s">
        <v>108</v>
      </c>
      <c r="B39" t="s">
        <v>606</v>
      </c>
      <c r="C39" t="s">
        <v>110</v>
      </c>
      <c r="D39" t="s">
        <v>111</v>
      </c>
      <c r="E39">
        <v>5</v>
      </c>
      <c r="F39">
        <v>5</v>
      </c>
      <c r="G39">
        <v>0</v>
      </c>
      <c r="H39">
        <f>SUM(powerdistUNPLACED4[[#This Row],[DGKY]:[BIDC]])</f>
        <v>5</v>
      </c>
      <c r="I39" t="s">
        <v>606</v>
      </c>
    </row>
    <row r="40" spans="1:9" x14ac:dyDescent="0.25">
      <c r="A40" t="s">
        <v>112</v>
      </c>
      <c r="B40" t="s">
        <v>113</v>
      </c>
      <c r="C40" t="s">
        <v>6</v>
      </c>
      <c r="D40" t="s">
        <v>114</v>
      </c>
      <c r="E40">
        <v>6</v>
      </c>
      <c r="F40">
        <v>0</v>
      </c>
      <c r="G40">
        <v>6</v>
      </c>
      <c r="H40">
        <f>SUM(powerdistUNPLACED4[[#This Row],[DGKY]:[BIDC]])</f>
        <v>6</v>
      </c>
    </row>
    <row r="41" spans="1:9" x14ac:dyDescent="0.25">
      <c r="A41" t="s">
        <v>115</v>
      </c>
      <c r="B41" t="s">
        <v>116</v>
      </c>
      <c r="C41" t="s">
        <v>117</v>
      </c>
      <c r="D41" t="s">
        <v>111</v>
      </c>
      <c r="E41">
        <v>6</v>
      </c>
      <c r="F41">
        <v>0</v>
      </c>
      <c r="G41">
        <v>6</v>
      </c>
      <c r="H41">
        <f>SUM(powerdistUNPLACED4[[#This Row],[DGKY]:[BIDC]])</f>
        <v>6</v>
      </c>
      <c r="I41" t="s">
        <v>594</v>
      </c>
    </row>
    <row r="42" spans="1:9" x14ac:dyDescent="0.25">
      <c r="A42" t="s">
        <v>118</v>
      </c>
      <c r="B42" t="s">
        <v>600</v>
      </c>
      <c r="C42" t="s">
        <v>120</v>
      </c>
      <c r="D42" t="s">
        <v>121</v>
      </c>
      <c r="E42">
        <v>1</v>
      </c>
      <c r="F42">
        <v>0</v>
      </c>
      <c r="G42">
        <v>1</v>
      </c>
      <c r="H42">
        <f>SUM(powerdistUNPLACED4[[#This Row],[DGKY]:[BIDC]])</f>
        <v>1</v>
      </c>
      <c r="I42" t="s">
        <v>119</v>
      </c>
    </row>
    <row r="43" spans="1:9" x14ac:dyDescent="0.25">
      <c r="A43" t="s">
        <v>122</v>
      </c>
      <c r="B43" t="s">
        <v>123</v>
      </c>
      <c r="C43" t="s">
        <v>6</v>
      </c>
      <c r="D43" t="s">
        <v>124</v>
      </c>
      <c r="E43">
        <v>3</v>
      </c>
      <c r="F43">
        <v>0</v>
      </c>
      <c r="G43">
        <v>3</v>
      </c>
      <c r="H43">
        <f>SUM(powerdistUNPLACED4[[#This Row],[DGKY]:[BIDC]])</f>
        <v>3</v>
      </c>
      <c r="I43" t="s">
        <v>123</v>
      </c>
    </row>
    <row r="44" spans="1:9" x14ac:dyDescent="0.25">
      <c r="A44" t="s">
        <v>125</v>
      </c>
      <c r="B44" t="s">
        <v>126</v>
      </c>
      <c r="C44" t="s">
        <v>6</v>
      </c>
      <c r="D44" t="s">
        <v>124</v>
      </c>
      <c r="E44">
        <v>3</v>
      </c>
      <c r="F44">
        <v>0</v>
      </c>
      <c r="G44">
        <v>3</v>
      </c>
      <c r="H44">
        <f>SUM(powerdistUNPLACED4[[#This Row],[DGKY]:[BIDC]])</f>
        <v>3</v>
      </c>
      <c r="I44" t="s">
        <v>126</v>
      </c>
    </row>
    <row r="45" spans="1:9" x14ac:dyDescent="0.25">
      <c r="A45" t="s">
        <v>127</v>
      </c>
      <c r="B45" t="s">
        <v>128</v>
      </c>
      <c r="C45" t="s">
        <v>6</v>
      </c>
      <c r="D45" t="s">
        <v>124</v>
      </c>
      <c r="E45">
        <v>3</v>
      </c>
      <c r="F45">
        <v>0</v>
      </c>
      <c r="G45">
        <v>3</v>
      </c>
      <c r="H45">
        <f>SUM(powerdistUNPLACED4[[#This Row],[DGKY]:[BIDC]])</f>
        <v>3</v>
      </c>
      <c r="I45" t="s">
        <v>128</v>
      </c>
    </row>
    <row r="46" spans="1:9" x14ac:dyDescent="0.25">
      <c r="A46" t="s">
        <v>129</v>
      </c>
      <c r="B46" t="s">
        <v>601</v>
      </c>
      <c r="C46" t="s">
        <v>6</v>
      </c>
      <c r="D46" t="s">
        <v>131</v>
      </c>
      <c r="E46">
        <v>3</v>
      </c>
      <c r="F46">
        <v>3</v>
      </c>
      <c r="G46">
        <v>0</v>
      </c>
      <c r="H46">
        <f>SUM(powerdistUNPLACED4[[#This Row],[DGKY]:[BIDC]])</f>
        <v>3</v>
      </c>
      <c r="I46" t="s">
        <v>130</v>
      </c>
    </row>
    <row r="47" spans="1:9" x14ac:dyDescent="0.25">
      <c r="A47" t="s">
        <v>132</v>
      </c>
      <c r="B47" t="s">
        <v>133</v>
      </c>
      <c r="C47" t="s">
        <v>6</v>
      </c>
      <c r="D47" t="s">
        <v>134</v>
      </c>
      <c r="E47">
        <v>3</v>
      </c>
      <c r="F47">
        <v>0</v>
      </c>
      <c r="G47">
        <v>3</v>
      </c>
      <c r="H47">
        <f>SUM(powerdistUNPLACED4[[#This Row],[DGKY]:[BIDC]])</f>
        <v>3</v>
      </c>
    </row>
    <row r="48" spans="1:9" x14ac:dyDescent="0.25">
      <c r="A48" t="s">
        <v>135</v>
      </c>
      <c r="B48" t="s">
        <v>602</v>
      </c>
      <c r="C48" t="s">
        <v>137</v>
      </c>
      <c r="D48" t="s">
        <v>138</v>
      </c>
      <c r="E48">
        <v>4</v>
      </c>
      <c r="F48">
        <v>4</v>
      </c>
      <c r="G48">
        <v>0</v>
      </c>
      <c r="H48">
        <f>SUM(powerdistUNPLACED4[[#This Row],[DGKY]:[BIDC]])</f>
        <v>4</v>
      </c>
      <c r="I48" t="s">
        <v>136</v>
      </c>
    </row>
    <row r="49" spans="1:9" x14ac:dyDescent="0.25">
      <c r="A49" t="s">
        <v>141</v>
      </c>
      <c r="B49" t="s">
        <v>142</v>
      </c>
      <c r="C49" t="s">
        <v>6</v>
      </c>
      <c r="D49" t="s">
        <v>143</v>
      </c>
      <c r="E49">
        <v>7</v>
      </c>
      <c r="F49">
        <v>7</v>
      </c>
      <c r="G49">
        <v>0</v>
      </c>
      <c r="H49">
        <f>SUM(powerdistUNPLACED4[[#This Row],[DGKY]:[BIDC]])</f>
        <v>7</v>
      </c>
      <c r="I49" t="s">
        <v>142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365EE-970D-49D0-85E7-6ECCFF639492}">
  <sheetPr codeName="Sheet3"/>
  <dimension ref="A1:G368"/>
  <sheetViews>
    <sheetView topLeftCell="A19" workbookViewId="0">
      <selection activeCell="L20" sqref="L20"/>
    </sheetView>
  </sheetViews>
  <sheetFormatPr defaultRowHeight="15" x14ac:dyDescent="0.25"/>
  <cols>
    <col min="1" max="1" width="13.140625" bestFit="1" customWidth="1"/>
    <col min="2" max="2" width="18.140625" bestFit="1" customWidth="1"/>
    <col min="3" max="3" width="59.85546875" bestFit="1" customWidth="1"/>
    <col min="4" max="4" width="10" hidden="1" customWidth="1"/>
    <col min="5" max="5" width="10.7109375" hidden="1" customWidth="1"/>
    <col min="6" max="6" width="11" hidden="1" customWidth="1"/>
    <col min="7" max="7" width="8.140625" bestFit="1" customWidth="1"/>
  </cols>
  <sheetData>
    <row r="1" spans="1:7" x14ac:dyDescent="0.25">
      <c r="A1" t="s">
        <v>0</v>
      </c>
      <c r="B1" t="s">
        <v>144</v>
      </c>
      <c r="C1" t="s">
        <v>145</v>
      </c>
      <c r="D1" t="s">
        <v>146</v>
      </c>
      <c r="E1" t="s">
        <v>147</v>
      </c>
      <c r="F1" t="s">
        <v>148</v>
      </c>
      <c r="G1" t="s">
        <v>149</v>
      </c>
    </row>
    <row r="2" spans="1:7" x14ac:dyDescent="0.25">
      <c r="A2" t="s">
        <v>150</v>
      </c>
      <c r="B2" t="s">
        <v>11</v>
      </c>
      <c r="C2" t="s">
        <v>151</v>
      </c>
      <c r="D2">
        <v>143400000</v>
      </c>
      <c r="E2">
        <v>-164400000</v>
      </c>
      <c r="F2">
        <v>90000000</v>
      </c>
      <c r="G2" t="s">
        <v>152</v>
      </c>
    </row>
    <row r="3" spans="1:7" x14ac:dyDescent="0.25">
      <c r="A3" t="s">
        <v>153</v>
      </c>
      <c r="B3" t="s">
        <v>11</v>
      </c>
      <c r="C3" t="s">
        <v>151</v>
      </c>
      <c r="D3">
        <v>141900000</v>
      </c>
      <c r="E3">
        <v>-164400000</v>
      </c>
      <c r="F3">
        <v>90000000</v>
      </c>
      <c r="G3" t="s">
        <v>152</v>
      </c>
    </row>
    <row r="4" spans="1:7" x14ac:dyDescent="0.25">
      <c r="A4" t="s">
        <v>8</v>
      </c>
      <c r="B4" t="s">
        <v>9</v>
      </c>
      <c r="C4" t="s">
        <v>151</v>
      </c>
      <c r="D4">
        <v>140400000</v>
      </c>
      <c r="E4">
        <v>-164400000</v>
      </c>
      <c r="F4">
        <v>90000000</v>
      </c>
      <c r="G4" t="s">
        <v>152</v>
      </c>
    </row>
    <row r="5" spans="1:7" x14ac:dyDescent="0.25">
      <c r="A5" t="s">
        <v>154</v>
      </c>
      <c r="B5" t="s">
        <v>14</v>
      </c>
      <c r="C5" t="s">
        <v>151</v>
      </c>
      <c r="D5">
        <v>136600000</v>
      </c>
      <c r="E5">
        <v>-202900000</v>
      </c>
      <c r="F5">
        <v>-90000000</v>
      </c>
      <c r="G5" t="s">
        <v>152</v>
      </c>
    </row>
    <row r="6" spans="1:7" x14ac:dyDescent="0.25">
      <c r="A6" t="s">
        <v>155</v>
      </c>
      <c r="B6" t="s">
        <v>14</v>
      </c>
      <c r="C6" t="s">
        <v>151</v>
      </c>
      <c r="D6">
        <v>137300000</v>
      </c>
      <c r="E6">
        <v>-205200000</v>
      </c>
      <c r="F6">
        <v>0</v>
      </c>
      <c r="G6" t="s">
        <v>152</v>
      </c>
    </row>
    <row r="7" spans="1:7" x14ac:dyDescent="0.25">
      <c r="A7" t="s">
        <v>156</v>
      </c>
      <c r="B7" t="s">
        <v>14</v>
      </c>
      <c r="C7" t="s">
        <v>151</v>
      </c>
      <c r="D7">
        <v>120900000</v>
      </c>
      <c r="E7">
        <v>-183000000</v>
      </c>
      <c r="F7">
        <v>90000000</v>
      </c>
      <c r="G7" t="s">
        <v>152</v>
      </c>
    </row>
    <row r="8" spans="1:7" x14ac:dyDescent="0.25">
      <c r="A8" t="s">
        <v>157</v>
      </c>
      <c r="B8" t="s">
        <v>14</v>
      </c>
      <c r="C8" t="s">
        <v>151</v>
      </c>
      <c r="D8">
        <v>107700000</v>
      </c>
      <c r="E8">
        <v>-183000000</v>
      </c>
      <c r="F8">
        <v>90000000</v>
      </c>
      <c r="G8" t="s">
        <v>152</v>
      </c>
    </row>
    <row r="9" spans="1:7" x14ac:dyDescent="0.25">
      <c r="A9" t="s">
        <v>158</v>
      </c>
      <c r="B9" t="s">
        <v>14</v>
      </c>
      <c r="C9" t="s">
        <v>151</v>
      </c>
      <c r="D9">
        <v>115100000</v>
      </c>
      <c r="E9">
        <v>-200500000</v>
      </c>
      <c r="F9">
        <v>180000000</v>
      </c>
      <c r="G9" t="s">
        <v>152</v>
      </c>
    </row>
    <row r="10" spans="1:7" x14ac:dyDescent="0.25">
      <c r="A10" t="s">
        <v>159</v>
      </c>
      <c r="B10" t="s">
        <v>14</v>
      </c>
      <c r="C10" t="s">
        <v>151</v>
      </c>
      <c r="D10">
        <v>120500000</v>
      </c>
      <c r="E10">
        <v>-200500000</v>
      </c>
      <c r="F10">
        <v>180000000</v>
      </c>
      <c r="G10" t="s">
        <v>152</v>
      </c>
    </row>
    <row r="11" spans="1:7" x14ac:dyDescent="0.25">
      <c r="A11" t="s">
        <v>160</v>
      </c>
      <c r="B11" t="s">
        <v>14</v>
      </c>
      <c r="C11" t="s">
        <v>151</v>
      </c>
      <c r="D11">
        <v>125900000</v>
      </c>
      <c r="E11">
        <v>-200500000</v>
      </c>
      <c r="F11">
        <v>180000000</v>
      </c>
      <c r="G11" t="s">
        <v>152</v>
      </c>
    </row>
    <row r="12" spans="1:7" x14ac:dyDescent="0.25">
      <c r="A12" t="s">
        <v>161</v>
      </c>
      <c r="B12" t="s">
        <v>14</v>
      </c>
      <c r="C12" t="s">
        <v>151</v>
      </c>
      <c r="D12">
        <v>131300000</v>
      </c>
      <c r="E12">
        <v>-200500000</v>
      </c>
      <c r="F12">
        <v>180000000</v>
      </c>
      <c r="G12" t="s">
        <v>152</v>
      </c>
    </row>
    <row r="13" spans="1:7" x14ac:dyDescent="0.25">
      <c r="A13" t="s">
        <v>162</v>
      </c>
      <c r="B13" t="s">
        <v>94</v>
      </c>
      <c r="C13" t="s">
        <v>163</v>
      </c>
      <c r="D13">
        <v>69600000</v>
      </c>
      <c r="E13">
        <v>-77200000</v>
      </c>
      <c r="F13">
        <v>180000000</v>
      </c>
      <c r="G13" t="s">
        <v>152</v>
      </c>
    </row>
    <row r="14" spans="1:7" x14ac:dyDescent="0.25">
      <c r="A14" t="s">
        <v>164</v>
      </c>
      <c r="B14" t="s">
        <v>142</v>
      </c>
      <c r="C14" t="s">
        <v>165</v>
      </c>
      <c r="D14">
        <v>149400000</v>
      </c>
      <c r="E14">
        <v>-176200000</v>
      </c>
      <c r="F14">
        <v>0</v>
      </c>
      <c r="G14" t="s">
        <v>152</v>
      </c>
    </row>
    <row r="15" spans="1:7" x14ac:dyDescent="0.25">
      <c r="A15" t="s">
        <v>166</v>
      </c>
      <c r="B15" t="s">
        <v>142</v>
      </c>
      <c r="C15" t="s">
        <v>165</v>
      </c>
      <c r="D15">
        <v>149400000</v>
      </c>
      <c r="E15">
        <v>-183000000</v>
      </c>
      <c r="F15">
        <v>0</v>
      </c>
      <c r="G15" t="s">
        <v>152</v>
      </c>
    </row>
    <row r="16" spans="1:7" x14ac:dyDescent="0.25">
      <c r="A16" t="s">
        <v>167</v>
      </c>
      <c r="B16" t="s">
        <v>142</v>
      </c>
      <c r="C16" t="s">
        <v>165</v>
      </c>
      <c r="D16">
        <v>149400000</v>
      </c>
      <c r="E16">
        <v>-189800000</v>
      </c>
      <c r="F16">
        <v>0</v>
      </c>
      <c r="G16" t="s">
        <v>152</v>
      </c>
    </row>
    <row r="17" spans="1:7" x14ac:dyDescent="0.25">
      <c r="A17" t="s">
        <v>168</v>
      </c>
      <c r="B17" t="s">
        <v>142</v>
      </c>
      <c r="C17" t="s">
        <v>165</v>
      </c>
      <c r="D17">
        <v>149400000</v>
      </c>
      <c r="E17">
        <v>-196600000</v>
      </c>
      <c r="F17">
        <v>0</v>
      </c>
      <c r="G17" t="s">
        <v>152</v>
      </c>
    </row>
    <row r="18" spans="1:7" x14ac:dyDescent="0.25">
      <c r="A18" t="s">
        <v>169</v>
      </c>
      <c r="B18" t="s">
        <v>136</v>
      </c>
      <c r="C18" t="s">
        <v>170</v>
      </c>
      <c r="D18">
        <v>76580000</v>
      </c>
      <c r="E18">
        <v>-80405000</v>
      </c>
      <c r="F18">
        <v>180000000</v>
      </c>
      <c r="G18" t="s">
        <v>152</v>
      </c>
    </row>
    <row r="19" spans="1:7" x14ac:dyDescent="0.25">
      <c r="A19" t="s">
        <v>171</v>
      </c>
      <c r="B19" t="s">
        <v>109</v>
      </c>
      <c r="C19" t="s">
        <v>172</v>
      </c>
      <c r="D19">
        <v>146400000</v>
      </c>
      <c r="E19">
        <v>-174700000</v>
      </c>
      <c r="F19">
        <v>0</v>
      </c>
      <c r="G19" t="s">
        <v>152</v>
      </c>
    </row>
    <row r="20" spans="1:7" x14ac:dyDescent="0.25">
      <c r="A20" t="s">
        <v>173</v>
      </c>
      <c r="B20" t="s">
        <v>109</v>
      </c>
      <c r="C20" t="s">
        <v>172</v>
      </c>
      <c r="D20">
        <v>146400000</v>
      </c>
      <c r="E20">
        <v>-181500000</v>
      </c>
      <c r="F20">
        <v>0</v>
      </c>
      <c r="G20" t="s">
        <v>152</v>
      </c>
    </row>
    <row r="21" spans="1:7" x14ac:dyDescent="0.25">
      <c r="A21" t="s">
        <v>174</v>
      </c>
      <c r="B21" t="s">
        <v>109</v>
      </c>
      <c r="C21" t="s">
        <v>172</v>
      </c>
      <c r="D21">
        <v>146400000</v>
      </c>
      <c r="E21">
        <v>-188300000</v>
      </c>
      <c r="F21">
        <v>0</v>
      </c>
      <c r="G21" t="s">
        <v>152</v>
      </c>
    </row>
    <row r="22" spans="1:7" x14ac:dyDescent="0.25">
      <c r="A22" t="s">
        <v>175</v>
      </c>
      <c r="B22" t="s">
        <v>109</v>
      </c>
      <c r="C22" t="s">
        <v>172</v>
      </c>
      <c r="D22">
        <v>146400000</v>
      </c>
      <c r="E22">
        <v>-195100000</v>
      </c>
      <c r="F22">
        <v>0</v>
      </c>
      <c r="G22" t="s">
        <v>152</v>
      </c>
    </row>
    <row r="23" spans="1:7" x14ac:dyDescent="0.25">
      <c r="A23" t="s">
        <v>176</v>
      </c>
      <c r="B23" t="s">
        <v>109</v>
      </c>
      <c r="C23" t="s">
        <v>172</v>
      </c>
      <c r="D23">
        <v>154000000</v>
      </c>
      <c r="E23">
        <v>-165600000</v>
      </c>
      <c r="F23">
        <v>90000000</v>
      </c>
      <c r="G23" t="s">
        <v>152</v>
      </c>
    </row>
    <row r="24" spans="1:7" x14ac:dyDescent="0.25">
      <c r="A24" t="s">
        <v>177</v>
      </c>
      <c r="B24" t="s">
        <v>178</v>
      </c>
      <c r="C24" t="s">
        <v>179</v>
      </c>
      <c r="D24">
        <v>71200000</v>
      </c>
      <c r="E24">
        <v>-74500000</v>
      </c>
      <c r="F24">
        <v>-90000000</v>
      </c>
      <c r="G24" t="s">
        <v>152</v>
      </c>
    </row>
    <row r="25" spans="1:7" x14ac:dyDescent="0.25">
      <c r="A25" t="s">
        <v>60</v>
      </c>
      <c r="B25" t="s">
        <v>180</v>
      </c>
      <c r="C25" t="s">
        <v>179</v>
      </c>
      <c r="D25">
        <v>119400000</v>
      </c>
      <c r="E25">
        <v>-184399998</v>
      </c>
      <c r="F25">
        <v>90000000</v>
      </c>
      <c r="G25" t="s">
        <v>152</v>
      </c>
    </row>
    <row r="26" spans="1:7" x14ac:dyDescent="0.25">
      <c r="A26" t="s">
        <v>52</v>
      </c>
      <c r="B26" t="s">
        <v>181</v>
      </c>
      <c r="C26" t="s">
        <v>179</v>
      </c>
      <c r="D26">
        <v>106200000</v>
      </c>
      <c r="E26">
        <v>-184400000</v>
      </c>
      <c r="F26">
        <v>90000000</v>
      </c>
      <c r="G26" t="s">
        <v>152</v>
      </c>
    </row>
    <row r="27" spans="1:7" x14ac:dyDescent="0.25">
      <c r="A27" t="s">
        <v>182</v>
      </c>
      <c r="B27" t="s">
        <v>178</v>
      </c>
      <c r="C27" t="s">
        <v>179</v>
      </c>
      <c r="D27">
        <v>137220000</v>
      </c>
      <c r="E27">
        <v>-199700000</v>
      </c>
      <c r="F27">
        <v>90000000</v>
      </c>
      <c r="G27" t="s">
        <v>152</v>
      </c>
    </row>
    <row r="28" spans="1:7" x14ac:dyDescent="0.25">
      <c r="A28" t="s">
        <v>183</v>
      </c>
      <c r="B28" t="s">
        <v>178</v>
      </c>
      <c r="C28" t="s">
        <v>179</v>
      </c>
      <c r="D28">
        <v>143520000</v>
      </c>
      <c r="E28">
        <v>-199700000</v>
      </c>
      <c r="F28">
        <v>90000000</v>
      </c>
      <c r="G28" t="s">
        <v>152</v>
      </c>
    </row>
    <row r="29" spans="1:7" x14ac:dyDescent="0.25">
      <c r="A29" t="s">
        <v>184</v>
      </c>
      <c r="B29" t="s">
        <v>185</v>
      </c>
      <c r="C29" t="s">
        <v>179</v>
      </c>
      <c r="D29">
        <v>154200000</v>
      </c>
      <c r="E29">
        <v>-168300000</v>
      </c>
      <c r="F29">
        <v>0</v>
      </c>
      <c r="G29" t="s">
        <v>152</v>
      </c>
    </row>
    <row r="30" spans="1:7" x14ac:dyDescent="0.25">
      <c r="A30" t="s">
        <v>40</v>
      </c>
      <c r="B30" t="s">
        <v>186</v>
      </c>
      <c r="C30" t="s">
        <v>179</v>
      </c>
      <c r="D30">
        <v>142575000</v>
      </c>
      <c r="E30">
        <v>-162100000</v>
      </c>
      <c r="F30">
        <v>180000000</v>
      </c>
      <c r="G30" t="s">
        <v>152</v>
      </c>
    </row>
    <row r="31" spans="1:7" x14ac:dyDescent="0.25">
      <c r="A31" t="s">
        <v>187</v>
      </c>
      <c r="B31" t="s">
        <v>188</v>
      </c>
      <c r="C31" t="s">
        <v>179</v>
      </c>
      <c r="D31">
        <v>119400000</v>
      </c>
      <c r="E31">
        <v>-181399998</v>
      </c>
      <c r="F31">
        <v>-90000000</v>
      </c>
      <c r="G31" t="s">
        <v>152</v>
      </c>
    </row>
    <row r="32" spans="1:7" x14ac:dyDescent="0.25">
      <c r="A32" t="s">
        <v>189</v>
      </c>
      <c r="B32" t="s">
        <v>185</v>
      </c>
      <c r="C32" t="s">
        <v>179</v>
      </c>
      <c r="D32">
        <v>120900000</v>
      </c>
      <c r="E32">
        <v>-186000000</v>
      </c>
      <c r="F32">
        <v>-90000000</v>
      </c>
      <c r="G32" t="s">
        <v>152</v>
      </c>
    </row>
    <row r="33" spans="1:7" x14ac:dyDescent="0.25">
      <c r="A33" t="s">
        <v>190</v>
      </c>
      <c r="B33" t="s">
        <v>188</v>
      </c>
      <c r="C33" t="s">
        <v>179</v>
      </c>
      <c r="D33">
        <v>106200000</v>
      </c>
      <c r="E33">
        <v>-181400000</v>
      </c>
      <c r="F33">
        <v>-90000000</v>
      </c>
      <c r="G33" t="s">
        <v>152</v>
      </c>
    </row>
    <row r="34" spans="1:7" x14ac:dyDescent="0.25">
      <c r="A34" t="s">
        <v>191</v>
      </c>
      <c r="B34" t="s">
        <v>185</v>
      </c>
      <c r="C34" t="s">
        <v>179</v>
      </c>
      <c r="D34">
        <v>107700000</v>
      </c>
      <c r="E34">
        <v>-186000000</v>
      </c>
      <c r="F34">
        <v>-90000000</v>
      </c>
      <c r="G34" t="s">
        <v>152</v>
      </c>
    </row>
    <row r="35" spans="1:7" x14ac:dyDescent="0.25">
      <c r="A35" t="s">
        <v>192</v>
      </c>
      <c r="B35" t="s">
        <v>83</v>
      </c>
      <c r="C35" t="s">
        <v>193</v>
      </c>
      <c r="D35">
        <v>132200000</v>
      </c>
      <c r="E35">
        <v>-204700000</v>
      </c>
      <c r="F35">
        <v>0</v>
      </c>
      <c r="G35" t="s">
        <v>152</v>
      </c>
    </row>
    <row r="36" spans="1:7" x14ac:dyDescent="0.25">
      <c r="A36" t="s">
        <v>194</v>
      </c>
      <c r="B36" t="s">
        <v>79</v>
      </c>
      <c r="C36" t="s">
        <v>195</v>
      </c>
      <c r="D36">
        <v>117800000</v>
      </c>
      <c r="E36">
        <v>-196000000</v>
      </c>
      <c r="F36">
        <v>-90000000</v>
      </c>
      <c r="G36" t="s">
        <v>152</v>
      </c>
    </row>
    <row r="37" spans="1:7" x14ac:dyDescent="0.25">
      <c r="A37" t="s">
        <v>196</v>
      </c>
      <c r="B37" t="s">
        <v>79</v>
      </c>
      <c r="C37" t="s">
        <v>195</v>
      </c>
      <c r="D37">
        <v>123200000</v>
      </c>
      <c r="E37">
        <v>-196000000</v>
      </c>
      <c r="F37">
        <v>-90000000</v>
      </c>
      <c r="G37" t="s">
        <v>152</v>
      </c>
    </row>
    <row r="38" spans="1:7" x14ac:dyDescent="0.25">
      <c r="A38" t="s">
        <v>197</v>
      </c>
      <c r="B38" t="s">
        <v>79</v>
      </c>
      <c r="C38" t="s">
        <v>195</v>
      </c>
      <c r="D38">
        <v>128600000</v>
      </c>
      <c r="E38">
        <v>-196000000</v>
      </c>
      <c r="F38">
        <v>-90000000</v>
      </c>
      <c r="G38" t="s">
        <v>152</v>
      </c>
    </row>
    <row r="39" spans="1:7" x14ac:dyDescent="0.25">
      <c r="A39" t="s">
        <v>198</v>
      </c>
      <c r="B39" t="s">
        <v>79</v>
      </c>
      <c r="C39" t="s">
        <v>195</v>
      </c>
      <c r="D39">
        <v>134000000</v>
      </c>
      <c r="E39">
        <v>-196000000</v>
      </c>
      <c r="F39">
        <v>-90000000</v>
      </c>
      <c r="G39" t="s">
        <v>152</v>
      </c>
    </row>
    <row r="40" spans="1:7" hidden="1" x14ac:dyDescent="0.25">
      <c r="A40" t="s">
        <v>199</v>
      </c>
      <c r="B40" t="s">
        <v>96</v>
      </c>
      <c r="C40" t="s">
        <v>200</v>
      </c>
      <c r="D40">
        <v>64487216</v>
      </c>
      <c r="E40">
        <v>-114470000</v>
      </c>
      <c r="F40">
        <v>90000000</v>
      </c>
      <c r="G40" t="s">
        <v>201</v>
      </c>
    </row>
    <row r="41" spans="1:7" hidden="1" x14ac:dyDescent="0.25">
      <c r="A41" t="s">
        <v>202</v>
      </c>
      <c r="B41" t="s">
        <v>96</v>
      </c>
      <c r="C41" t="s">
        <v>200</v>
      </c>
      <c r="D41">
        <v>64503465</v>
      </c>
      <c r="E41">
        <v>-158270000</v>
      </c>
      <c r="F41">
        <v>90000000</v>
      </c>
      <c r="G41" t="s">
        <v>201</v>
      </c>
    </row>
    <row r="42" spans="1:7" hidden="1" x14ac:dyDescent="0.25">
      <c r="A42" t="s">
        <v>203</v>
      </c>
      <c r="B42" t="s">
        <v>96</v>
      </c>
      <c r="C42" t="s">
        <v>200</v>
      </c>
      <c r="D42">
        <v>64503465</v>
      </c>
      <c r="E42">
        <v>-202070000</v>
      </c>
      <c r="F42">
        <v>90000000</v>
      </c>
      <c r="G42" t="s">
        <v>201</v>
      </c>
    </row>
    <row r="43" spans="1:7" hidden="1" x14ac:dyDescent="0.25">
      <c r="A43" t="s">
        <v>204</v>
      </c>
      <c r="B43" t="s">
        <v>99</v>
      </c>
      <c r="C43" t="s">
        <v>205</v>
      </c>
      <c r="D43">
        <v>68587216</v>
      </c>
      <c r="E43">
        <v>-97000000</v>
      </c>
      <c r="F43">
        <v>-90000000</v>
      </c>
      <c r="G43" t="s">
        <v>201</v>
      </c>
    </row>
    <row r="44" spans="1:7" hidden="1" x14ac:dyDescent="0.25">
      <c r="A44" t="s">
        <v>206</v>
      </c>
      <c r="B44" t="s">
        <v>99</v>
      </c>
      <c r="C44" t="s">
        <v>205</v>
      </c>
      <c r="D44">
        <v>68603465</v>
      </c>
      <c r="E44">
        <v>-140800000</v>
      </c>
      <c r="F44">
        <v>-90000000</v>
      </c>
      <c r="G44" t="s">
        <v>201</v>
      </c>
    </row>
    <row r="45" spans="1:7" hidden="1" x14ac:dyDescent="0.25">
      <c r="A45" t="s">
        <v>207</v>
      </c>
      <c r="B45" t="s">
        <v>99</v>
      </c>
      <c r="C45" t="s">
        <v>205</v>
      </c>
      <c r="D45">
        <v>68603465</v>
      </c>
      <c r="E45">
        <v>-184600000</v>
      </c>
      <c r="F45">
        <v>-90000000</v>
      </c>
      <c r="G45" t="s">
        <v>201</v>
      </c>
    </row>
    <row r="46" spans="1:7" hidden="1" x14ac:dyDescent="0.25">
      <c r="A46" t="s">
        <v>208</v>
      </c>
      <c r="B46" t="s">
        <v>102</v>
      </c>
      <c r="C46" t="s">
        <v>209</v>
      </c>
      <c r="D46">
        <v>60387216</v>
      </c>
      <c r="E46">
        <v>-94500000</v>
      </c>
      <c r="F46">
        <v>-90000000</v>
      </c>
      <c r="G46" t="s">
        <v>201</v>
      </c>
    </row>
    <row r="47" spans="1:7" hidden="1" x14ac:dyDescent="0.25">
      <c r="A47" t="s">
        <v>210</v>
      </c>
      <c r="B47" t="s">
        <v>102</v>
      </c>
      <c r="C47" t="s">
        <v>209</v>
      </c>
      <c r="D47">
        <v>60403465</v>
      </c>
      <c r="E47">
        <v>-138300000</v>
      </c>
      <c r="F47">
        <v>-90000000</v>
      </c>
      <c r="G47" t="s">
        <v>201</v>
      </c>
    </row>
    <row r="48" spans="1:7" hidden="1" x14ac:dyDescent="0.25">
      <c r="A48" t="s">
        <v>211</v>
      </c>
      <c r="B48" t="s">
        <v>102</v>
      </c>
      <c r="C48" t="s">
        <v>209</v>
      </c>
      <c r="D48">
        <v>60403465</v>
      </c>
      <c r="E48">
        <v>-182100000</v>
      </c>
      <c r="F48">
        <v>-90000000</v>
      </c>
      <c r="G48" t="s">
        <v>201</v>
      </c>
    </row>
    <row r="49" spans="1:7" hidden="1" x14ac:dyDescent="0.25">
      <c r="A49" t="s">
        <v>212</v>
      </c>
      <c r="B49" t="s">
        <v>26</v>
      </c>
      <c r="C49" t="s">
        <v>213</v>
      </c>
      <c r="D49">
        <v>122700000</v>
      </c>
      <c r="E49">
        <v>-200800000</v>
      </c>
      <c r="F49">
        <v>180000000</v>
      </c>
      <c r="G49" t="s">
        <v>201</v>
      </c>
    </row>
    <row r="50" spans="1:7" hidden="1" x14ac:dyDescent="0.25">
      <c r="A50" t="s">
        <v>214</v>
      </c>
      <c r="B50" t="s">
        <v>26</v>
      </c>
      <c r="C50" t="s">
        <v>213</v>
      </c>
      <c r="D50">
        <v>107100000</v>
      </c>
      <c r="E50">
        <v>-200800000</v>
      </c>
      <c r="F50">
        <v>180000000</v>
      </c>
      <c r="G50" t="s">
        <v>201</v>
      </c>
    </row>
    <row r="51" spans="1:7" hidden="1" x14ac:dyDescent="0.25">
      <c r="A51" t="s">
        <v>215</v>
      </c>
      <c r="B51" t="s">
        <v>26</v>
      </c>
      <c r="C51" t="s">
        <v>213</v>
      </c>
      <c r="D51">
        <v>122700000</v>
      </c>
      <c r="E51">
        <v>-203100000</v>
      </c>
      <c r="F51">
        <v>180000000</v>
      </c>
      <c r="G51" t="s">
        <v>201</v>
      </c>
    </row>
    <row r="52" spans="1:7" hidden="1" x14ac:dyDescent="0.25">
      <c r="A52" t="s">
        <v>216</v>
      </c>
      <c r="B52" t="s">
        <v>19</v>
      </c>
      <c r="C52" t="s">
        <v>213</v>
      </c>
      <c r="D52">
        <v>148600000</v>
      </c>
      <c r="E52">
        <v>-79350000</v>
      </c>
      <c r="F52">
        <v>180000000</v>
      </c>
      <c r="G52" t="s">
        <v>201</v>
      </c>
    </row>
    <row r="53" spans="1:7" hidden="1" x14ac:dyDescent="0.25">
      <c r="A53" t="s">
        <v>217</v>
      </c>
      <c r="B53" t="s">
        <v>15</v>
      </c>
      <c r="C53" t="s">
        <v>151</v>
      </c>
      <c r="D53">
        <v>130800000</v>
      </c>
      <c r="E53">
        <v>-92200000</v>
      </c>
      <c r="F53">
        <v>180000000</v>
      </c>
      <c r="G53" t="s">
        <v>201</v>
      </c>
    </row>
    <row r="54" spans="1:7" hidden="1" x14ac:dyDescent="0.25">
      <c r="A54" t="s">
        <v>218</v>
      </c>
      <c r="B54" t="s">
        <v>15</v>
      </c>
      <c r="C54" t="s">
        <v>151</v>
      </c>
      <c r="D54">
        <v>135600000</v>
      </c>
      <c r="E54">
        <v>-99000000</v>
      </c>
      <c r="F54">
        <v>0</v>
      </c>
      <c r="G54" t="s">
        <v>201</v>
      </c>
    </row>
    <row r="55" spans="1:7" hidden="1" x14ac:dyDescent="0.25">
      <c r="A55" t="s">
        <v>219</v>
      </c>
      <c r="B55" t="s">
        <v>12</v>
      </c>
      <c r="C55" t="s">
        <v>151</v>
      </c>
      <c r="D55">
        <v>130890000</v>
      </c>
      <c r="E55">
        <v>-98300000</v>
      </c>
      <c r="F55">
        <v>180000000</v>
      </c>
      <c r="G55" t="s">
        <v>201</v>
      </c>
    </row>
    <row r="56" spans="1:7" hidden="1" x14ac:dyDescent="0.25">
      <c r="A56" t="s">
        <v>220</v>
      </c>
      <c r="B56" t="s">
        <v>15</v>
      </c>
      <c r="C56" t="s">
        <v>151</v>
      </c>
      <c r="D56">
        <v>142400000</v>
      </c>
      <c r="E56">
        <v>-92000000</v>
      </c>
      <c r="F56">
        <v>0</v>
      </c>
      <c r="G56" t="s">
        <v>201</v>
      </c>
    </row>
    <row r="57" spans="1:7" hidden="1" x14ac:dyDescent="0.25">
      <c r="A57" t="s">
        <v>221</v>
      </c>
      <c r="B57" t="s">
        <v>14</v>
      </c>
      <c r="C57" t="s">
        <v>151</v>
      </c>
      <c r="D57">
        <v>139000000</v>
      </c>
      <c r="E57">
        <v>-97700000</v>
      </c>
      <c r="F57">
        <v>180000000</v>
      </c>
      <c r="G57" t="s">
        <v>201</v>
      </c>
    </row>
    <row r="58" spans="1:7" hidden="1" x14ac:dyDescent="0.25">
      <c r="A58" t="s">
        <v>222</v>
      </c>
      <c r="B58" t="s">
        <v>14</v>
      </c>
      <c r="C58" t="s">
        <v>151</v>
      </c>
      <c r="D58">
        <v>139800000</v>
      </c>
      <c r="E58">
        <v>-95325000</v>
      </c>
      <c r="F58">
        <v>90000000</v>
      </c>
      <c r="G58" t="s">
        <v>201</v>
      </c>
    </row>
    <row r="59" spans="1:7" hidden="1" x14ac:dyDescent="0.25">
      <c r="A59" t="s">
        <v>223</v>
      </c>
      <c r="B59" t="s">
        <v>24</v>
      </c>
      <c r="C59" t="s">
        <v>213</v>
      </c>
      <c r="D59">
        <v>142600000</v>
      </c>
      <c r="E59">
        <v>-84800000</v>
      </c>
      <c r="F59">
        <v>90000000</v>
      </c>
      <c r="G59" t="s">
        <v>201</v>
      </c>
    </row>
    <row r="60" spans="1:7" hidden="1" x14ac:dyDescent="0.25">
      <c r="A60" t="s">
        <v>224</v>
      </c>
      <c r="B60" t="s">
        <v>24</v>
      </c>
      <c r="C60" t="s">
        <v>213</v>
      </c>
      <c r="D60">
        <v>144900000</v>
      </c>
      <c r="E60">
        <v>-84800000</v>
      </c>
      <c r="F60">
        <v>90000000</v>
      </c>
      <c r="G60" t="s">
        <v>201</v>
      </c>
    </row>
    <row r="61" spans="1:7" hidden="1" x14ac:dyDescent="0.25">
      <c r="A61" t="s">
        <v>225</v>
      </c>
      <c r="B61" t="s">
        <v>5</v>
      </c>
      <c r="C61" t="s">
        <v>151</v>
      </c>
      <c r="D61">
        <v>112100000</v>
      </c>
      <c r="E61">
        <v>-92900000</v>
      </c>
      <c r="F61">
        <v>-90000000</v>
      </c>
      <c r="G61" t="s">
        <v>201</v>
      </c>
    </row>
    <row r="62" spans="1:7" hidden="1" x14ac:dyDescent="0.25">
      <c r="A62" t="s">
        <v>226</v>
      </c>
      <c r="B62" t="s">
        <v>14</v>
      </c>
      <c r="C62" t="s">
        <v>151</v>
      </c>
      <c r="D62">
        <v>137000000</v>
      </c>
      <c r="E62">
        <v>-89300000</v>
      </c>
      <c r="F62">
        <v>90000000</v>
      </c>
      <c r="G62" t="s">
        <v>201</v>
      </c>
    </row>
    <row r="63" spans="1:7" hidden="1" x14ac:dyDescent="0.25">
      <c r="A63" t="s">
        <v>227</v>
      </c>
      <c r="B63" t="s">
        <v>24</v>
      </c>
      <c r="C63" t="s">
        <v>213</v>
      </c>
      <c r="D63">
        <v>108200000</v>
      </c>
      <c r="E63">
        <v>-81125000</v>
      </c>
      <c r="F63">
        <v>90000000</v>
      </c>
      <c r="G63" t="s">
        <v>201</v>
      </c>
    </row>
    <row r="64" spans="1:7" hidden="1" x14ac:dyDescent="0.25">
      <c r="A64" t="s">
        <v>228</v>
      </c>
      <c r="B64" t="s">
        <v>24</v>
      </c>
      <c r="C64" t="s">
        <v>213</v>
      </c>
      <c r="D64">
        <v>110500000</v>
      </c>
      <c r="E64">
        <v>-81125000</v>
      </c>
      <c r="F64">
        <v>90000000</v>
      </c>
      <c r="G64" t="s">
        <v>201</v>
      </c>
    </row>
    <row r="65" spans="1:7" hidden="1" x14ac:dyDescent="0.25">
      <c r="A65" t="s">
        <v>229</v>
      </c>
      <c r="B65" t="s">
        <v>24</v>
      </c>
      <c r="C65" t="s">
        <v>213</v>
      </c>
      <c r="D65">
        <v>112800000</v>
      </c>
      <c r="E65">
        <v>-81125000</v>
      </c>
      <c r="F65">
        <v>90000000</v>
      </c>
      <c r="G65" t="s">
        <v>201</v>
      </c>
    </row>
    <row r="66" spans="1:7" hidden="1" x14ac:dyDescent="0.25">
      <c r="A66" t="s">
        <v>230</v>
      </c>
      <c r="B66" t="s">
        <v>24</v>
      </c>
      <c r="C66" t="s">
        <v>213</v>
      </c>
      <c r="D66">
        <v>115100000</v>
      </c>
      <c r="E66">
        <v>-81125000</v>
      </c>
      <c r="F66">
        <v>90000000</v>
      </c>
      <c r="G66" t="s">
        <v>201</v>
      </c>
    </row>
    <row r="67" spans="1:7" hidden="1" x14ac:dyDescent="0.25">
      <c r="A67" t="s">
        <v>231</v>
      </c>
      <c r="B67" t="s">
        <v>19</v>
      </c>
      <c r="C67" t="s">
        <v>213</v>
      </c>
      <c r="D67">
        <v>148596415</v>
      </c>
      <c r="E67">
        <v>-104050000</v>
      </c>
      <c r="F67">
        <v>180000000</v>
      </c>
      <c r="G67" t="s">
        <v>201</v>
      </c>
    </row>
    <row r="68" spans="1:7" hidden="1" x14ac:dyDescent="0.25">
      <c r="A68" t="s">
        <v>232</v>
      </c>
      <c r="B68" t="s">
        <v>15</v>
      </c>
      <c r="C68" t="s">
        <v>151</v>
      </c>
      <c r="D68">
        <v>130796415</v>
      </c>
      <c r="E68">
        <v>-116900000</v>
      </c>
      <c r="F68">
        <v>180000000</v>
      </c>
      <c r="G68" t="s">
        <v>201</v>
      </c>
    </row>
    <row r="69" spans="1:7" hidden="1" x14ac:dyDescent="0.25">
      <c r="A69" t="s">
        <v>233</v>
      </c>
      <c r="B69" t="s">
        <v>15</v>
      </c>
      <c r="C69" t="s">
        <v>151</v>
      </c>
      <c r="D69">
        <v>135596415</v>
      </c>
      <c r="E69">
        <v>-123700000</v>
      </c>
      <c r="F69">
        <v>0</v>
      </c>
      <c r="G69" t="s">
        <v>201</v>
      </c>
    </row>
    <row r="70" spans="1:7" hidden="1" x14ac:dyDescent="0.25">
      <c r="A70" t="s">
        <v>234</v>
      </c>
      <c r="B70" t="s">
        <v>12</v>
      </c>
      <c r="C70" t="s">
        <v>151</v>
      </c>
      <c r="D70">
        <v>130886415</v>
      </c>
      <c r="E70">
        <v>-123000000</v>
      </c>
      <c r="F70">
        <v>180000000</v>
      </c>
      <c r="G70" t="s">
        <v>201</v>
      </c>
    </row>
    <row r="71" spans="1:7" hidden="1" x14ac:dyDescent="0.25">
      <c r="A71" t="s">
        <v>235</v>
      </c>
      <c r="B71" t="s">
        <v>15</v>
      </c>
      <c r="C71" t="s">
        <v>151</v>
      </c>
      <c r="D71">
        <v>142396415</v>
      </c>
      <c r="E71">
        <v>-116700000</v>
      </c>
      <c r="F71">
        <v>0</v>
      </c>
      <c r="G71" t="s">
        <v>201</v>
      </c>
    </row>
    <row r="72" spans="1:7" hidden="1" x14ac:dyDescent="0.25">
      <c r="A72" t="s">
        <v>236</v>
      </c>
      <c r="B72" t="s">
        <v>14</v>
      </c>
      <c r="C72" t="s">
        <v>151</v>
      </c>
      <c r="D72">
        <v>138996415</v>
      </c>
      <c r="E72">
        <v>-122400000</v>
      </c>
      <c r="F72">
        <v>180000000</v>
      </c>
      <c r="G72" t="s">
        <v>201</v>
      </c>
    </row>
    <row r="73" spans="1:7" hidden="1" x14ac:dyDescent="0.25">
      <c r="A73" t="s">
        <v>237</v>
      </c>
      <c r="B73" t="s">
        <v>14</v>
      </c>
      <c r="C73" t="s">
        <v>151</v>
      </c>
      <c r="D73">
        <v>139796415</v>
      </c>
      <c r="E73">
        <v>-120025000</v>
      </c>
      <c r="F73">
        <v>90000000</v>
      </c>
      <c r="G73" t="s">
        <v>201</v>
      </c>
    </row>
    <row r="74" spans="1:7" hidden="1" x14ac:dyDescent="0.25">
      <c r="A74" t="s">
        <v>238</v>
      </c>
      <c r="B74" t="s">
        <v>24</v>
      </c>
      <c r="C74" t="s">
        <v>213</v>
      </c>
      <c r="D74">
        <v>142596415</v>
      </c>
      <c r="E74">
        <v>-109500000</v>
      </c>
      <c r="F74">
        <v>90000000</v>
      </c>
      <c r="G74" t="s">
        <v>201</v>
      </c>
    </row>
    <row r="75" spans="1:7" hidden="1" x14ac:dyDescent="0.25">
      <c r="A75" t="s">
        <v>239</v>
      </c>
      <c r="B75" t="s">
        <v>24</v>
      </c>
      <c r="C75" t="s">
        <v>213</v>
      </c>
      <c r="D75">
        <v>144896415</v>
      </c>
      <c r="E75">
        <v>-109500000</v>
      </c>
      <c r="F75">
        <v>90000000</v>
      </c>
      <c r="G75" t="s">
        <v>201</v>
      </c>
    </row>
    <row r="76" spans="1:7" hidden="1" x14ac:dyDescent="0.25">
      <c r="A76" t="s">
        <v>240</v>
      </c>
      <c r="B76" t="s">
        <v>5</v>
      </c>
      <c r="C76" t="s">
        <v>151</v>
      </c>
      <c r="D76">
        <v>112096415</v>
      </c>
      <c r="E76">
        <v>-117600000</v>
      </c>
      <c r="F76">
        <v>-90000000</v>
      </c>
      <c r="G76" t="s">
        <v>201</v>
      </c>
    </row>
    <row r="77" spans="1:7" hidden="1" x14ac:dyDescent="0.25">
      <c r="A77" t="s">
        <v>241</v>
      </c>
      <c r="B77" t="s">
        <v>14</v>
      </c>
      <c r="C77" t="s">
        <v>151</v>
      </c>
      <c r="D77">
        <v>136996415</v>
      </c>
      <c r="E77">
        <v>-114000000</v>
      </c>
      <c r="F77">
        <v>90000000</v>
      </c>
      <c r="G77" t="s">
        <v>201</v>
      </c>
    </row>
    <row r="78" spans="1:7" hidden="1" x14ac:dyDescent="0.25">
      <c r="A78" t="s">
        <v>242</v>
      </c>
      <c r="B78" t="s">
        <v>24</v>
      </c>
      <c r="C78" t="s">
        <v>213</v>
      </c>
      <c r="D78">
        <v>108196415</v>
      </c>
      <c r="E78">
        <v>-105825000</v>
      </c>
      <c r="F78">
        <v>90000000</v>
      </c>
      <c r="G78" t="s">
        <v>201</v>
      </c>
    </row>
    <row r="79" spans="1:7" hidden="1" x14ac:dyDescent="0.25">
      <c r="A79" t="s">
        <v>243</v>
      </c>
      <c r="B79" t="s">
        <v>24</v>
      </c>
      <c r="C79" t="s">
        <v>213</v>
      </c>
      <c r="D79">
        <v>110496415</v>
      </c>
      <c r="E79">
        <v>-105825000</v>
      </c>
      <c r="F79">
        <v>90000000</v>
      </c>
      <c r="G79" t="s">
        <v>201</v>
      </c>
    </row>
    <row r="80" spans="1:7" hidden="1" x14ac:dyDescent="0.25">
      <c r="A80" t="s">
        <v>244</v>
      </c>
      <c r="B80" t="s">
        <v>24</v>
      </c>
      <c r="C80" t="s">
        <v>213</v>
      </c>
      <c r="D80">
        <v>112796415</v>
      </c>
      <c r="E80">
        <v>-105825000</v>
      </c>
      <c r="F80">
        <v>90000000</v>
      </c>
      <c r="G80" t="s">
        <v>201</v>
      </c>
    </row>
    <row r="81" spans="1:7" hidden="1" x14ac:dyDescent="0.25">
      <c r="A81" t="s">
        <v>245</v>
      </c>
      <c r="B81" t="s">
        <v>24</v>
      </c>
      <c r="C81" t="s">
        <v>213</v>
      </c>
      <c r="D81">
        <v>115096415</v>
      </c>
      <c r="E81">
        <v>-105825000</v>
      </c>
      <c r="F81">
        <v>90000000</v>
      </c>
      <c r="G81" t="s">
        <v>201</v>
      </c>
    </row>
    <row r="82" spans="1:7" hidden="1" x14ac:dyDescent="0.25">
      <c r="A82" t="s">
        <v>246</v>
      </c>
      <c r="B82" t="s">
        <v>19</v>
      </c>
      <c r="C82" t="s">
        <v>213</v>
      </c>
      <c r="D82">
        <v>148596415</v>
      </c>
      <c r="E82">
        <v>-128700000</v>
      </c>
      <c r="F82">
        <v>180000000</v>
      </c>
      <c r="G82" t="s">
        <v>201</v>
      </c>
    </row>
    <row r="83" spans="1:7" hidden="1" x14ac:dyDescent="0.25">
      <c r="A83" t="s">
        <v>247</v>
      </c>
      <c r="B83" t="s">
        <v>15</v>
      </c>
      <c r="C83" t="s">
        <v>151</v>
      </c>
      <c r="D83">
        <v>130796415</v>
      </c>
      <c r="E83">
        <v>-141550000</v>
      </c>
      <c r="F83">
        <v>180000000</v>
      </c>
      <c r="G83" t="s">
        <v>201</v>
      </c>
    </row>
    <row r="84" spans="1:7" hidden="1" x14ac:dyDescent="0.25">
      <c r="A84" t="s">
        <v>248</v>
      </c>
      <c r="B84" t="s">
        <v>15</v>
      </c>
      <c r="C84" t="s">
        <v>151</v>
      </c>
      <c r="D84">
        <v>135596415</v>
      </c>
      <c r="E84">
        <v>-148350000</v>
      </c>
      <c r="F84">
        <v>0</v>
      </c>
      <c r="G84" t="s">
        <v>201</v>
      </c>
    </row>
    <row r="85" spans="1:7" hidden="1" x14ac:dyDescent="0.25">
      <c r="A85" t="s">
        <v>249</v>
      </c>
      <c r="B85" t="s">
        <v>12</v>
      </c>
      <c r="C85" t="s">
        <v>151</v>
      </c>
      <c r="D85">
        <v>130886415</v>
      </c>
      <c r="E85">
        <v>-147650000</v>
      </c>
      <c r="F85">
        <v>180000000</v>
      </c>
      <c r="G85" t="s">
        <v>201</v>
      </c>
    </row>
    <row r="86" spans="1:7" hidden="1" x14ac:dyDescent="0.25">
      <c r="A86" t="s">
        <v>250</v>
      </c>
      <c r="B86" t="s">
        <v>15</v>
      </c>
      <c r="C86" t="s">
        <v>151</v>
      </c>
      <c r="D86">
        <v>142396415</v>
      </c>
      <c r="E86">
        <v>-141350000</v>
      </c>
      <c r="F86">
        <v>0</v>
      </c>
      <c r="G86" t="s">
        <v>201</v>
      </c>
    </row>
    <row r="87" spans="1:7" hidden="1" x14ac:dyDescent="0.25">
      <c r="A87" t="s">
        <v>251</v>
      </c>
      <c r="B87" t="s">
        <v>14</v>
      </c>
      <c r="C87" t="s">
        <v>151</v>
      </c>
      <c r="D87">
        <v>138996415</v>
      </c>
      <c r="E87">
        <v>-147050000</v>
      </c>
      <c r="F87">
        <v>180000000</v>
      </c>
      <c r="G87" t="s">
        <v>201</v>
      </c>
    </row>
    <row r="88" spans="1:7" hidden="1" x14ac:dyDescent="0.25">
      <c r="A88" t="s">
        <v>252</v>
      </c>
      <c r="B88" t="s">
        <v>14</v>
      </c>
      <c r="C88" t="s">
        <v>151</v>
      </c>
      <c r="D88">
        <v>139796415</v>
      </c>
      <c r="E88">
        <v>-144675000</v>
      </c>
      <c r="F88">
        <v>90000000</v>
      </c>
      <c r="G88" t="s">
        <v>201</v>
      </c>
    </row>
    <row r="89" spans="1:7" hidden="1" x14ac:dyDescent="0.25">
      <c r="A89" t="s">
        <v>253</v>
      </c>
      <c r="B89" t="s">
        <v>24</v>
      </c>
      <c r="C89" t="s">
        <v>213</v>
      </c>
      <c r="D89">
        <v>142596415</v>
      </c>
      <c r="E89">
        <v>-134150000</v>
      </c>
      <c r="F89">
        <v>90000000</v>
      </c>
      <c r="G89" t="s">
        <v>201</v>
      </c>
    </row>
    <row r="90" spans="1:7" hidden="1" x14ac:dyDescent="0.25">
      <c r="A90" t="s">
        <v>254</v>
      </c>
      <c r="B90" t="s">
        <v>24</v>
      </c>
      <c r="C90" t="s">
        <v>213</v>
      </c>
      <c r="D90">
        <v>144896415</v>
      </c>
      <c r="E90">
        <v>-134150000</v>
      </c>
      <c r="F90">
        <v>90000000</v>
      </c>
      <c r="G90" t="s">
        <v>201</v>
      </c>
    </row>
    <row r="91" spans="1:7" hidden="1" x14ac:dyDescent="0.25">
      <c r="A91" t="s">
        <v>255</v>
      </c>
      <c r="B91" t="s">
        <v>5</v>
      </c>
      <c r="C91" t="s">
        <v>151</v>
      </c>
      <c r="D91">
        <v>112096415</v>
      </c>
      <c r="E91">
        <v>-142250000</v>
      </c>
      <c r="F91">
        <v>-90000000</v>
      </c>
      <c r="G91" t="s">
        <v>201</v>
      </c>
    </row>
    <row r="92" spans="1:7" hidden="1" x14ac:dyDescent="0.25">
      <c r="A92" t="s">
        <v>256</v>
      </c>
      <c r="B92" t="s">
        <v>14</v>
      </c>
      <c r="C92" t="s">
        <v>151</v>
      </c>
      <c r="D92">
        <v>136996415</v>
      </c>
      <c r="E92">
        <v>-138650000</v>
      </c>
      <c r="F92">
        <v>90000000</v>
      </c>
      <c r="G92" t="s">
        <v>201</v>
      </c>
    </row>
    <row r="93" spans="1:7" hidden="1" x14ac:dyDescent="0.25">
      <c r="A93" t="s">
        <v>257</v>
      </c>
      <c r="B93" t="s">
        <v>24</v>
      </c>
      <c r="C93" t="s">
        <v>213</v>
      </c>
      <c r="D93">
        <v>108196415</v>
      </c>
      <c r="E93">
        <v>-130475000</v>
      </c>
      <c r="F93">
        <v>90000000</v>
      </c>
      <c r="G93" t="s">
        <v>201</v>
      </c>
    </row>
    <row r="94" spans="1:7" hidden="1" x14ac:dyDescent="0.25">
      <c r="A94" t="s">
        <v>258</v>
      </c>
      <c r="B94" t="s">
        <v>24</v>
      </c>
      <c r="C94" t="s">
        <v>213</v>
      </c>
      <c r="D94">
        <v>110496415</v>
      </c>
      <c r="E94">
        <v>-130475000</v>
      </c>
      <c r="F94">
        <v>90000000</v>
      </c>
      <c r="G94" t="s">
        <v>201</v>
      </c>
    </row>
    <row r="95" spans="1:7" hidden="1" x14ac:dyDescent="0.25">
      <c r="A95" t="s">
        <v>259</v>
      </c>
      <c r="B95" t="s">
        <v>24</v>
      </c>
      <c r="C95" t="s">
        <v>213</v>
      </c>
      <c r="D95">
        <v>112796415</v>
      </c>
      <c r="E95">
        <v>-130475000</v>
      </c>
      <c r="F95">
        <v>90000000</v>
      </c>
      <c r="G95" t="s">
        <v>201</v>
      </c>
    </row>
    <row r="96" spans="1:7" hidden="1" x14ac:dyDescent="0.25">
      <c r="A96" t="s">
        <v>260</v>
      </c>
      <c r="B96" t="s">
        <v>24</v>
      </c>
      <c r="C96" t="s">
        <v>213</v>
      </c>
      <c r="D96">
        <v>115096415</v>
      </c>
      <c r="E96">
        <v>-130475000</v>
      </c>
      <c r="F96">
        <v>90000000</v>
      </c>
      <c r="G96" t="s">
        <v>201</v>
      </c>
    </row>
    <row r="97" spans="1:7" hidden="1" x14ac:dyDescent="0.25">
      <c r="A97" t="s">
        <v>261</v>
      </c>
      <c r="B97" t="s">
        <v>14</v>
      </c>
      <c r="C97" t="s">
        <v>151</v>
      </c>
      <c r="D97">
        <v>76087216</v>
      </c>
      <c r="E97">
        <v>-93775000</v>
      </c>
      <c r="F97">
        <v>-90000000</v>
      </c>
      <c r="G97" t="s">
        <v>201</v>
      </c>
    </row>
    <row r="98" spans="1:7" hidden="1" x14ac:dyDescent="0.25">
      <c r="A98" t="s">
        <v>262</v>
      </c>
      <c r="B98" t="s">
        <v>14</v>
      </c>
      <c r="C98" t="s">
        <v>151</v>
      </c>
      <c r="D98">
        <v>76087216</v>
      </c>
      <c r="E98">
        <v>-99775000</v>
      </c>
      <c r="F98">
        <v>-90000000</v>
      </c>
      <c r="G98" t="s">
        <v>201</v>
      </c>
    </row>
    <row r="99" spans="1:7" hidden="1" x14ac:dyDescent="0.25">
      <c r="A99" t="s">
        <v>263</v>
      </c>
      <c r="B99" t="s">
        <v>14</v>
      </c>
      <c r="C99" t="s">
        <v>151</v>
      </c>
      <c r="D99">
        <v>76862216</v>
      </c>
      <c r="E99">
        <v>-104500000</v>
      </c>
      <c r="F99">
        <v>180000000</v>
      </c>
      <c r="G99" t="s">
        <v>201</v>
      </c>
    </row>
    <row r="100" spans="1:7" hidden="1" x14ac:dyDescent="0.25">
      <c r="A100" t="s">
        <v>264</v>
      </c>
      <c r="B100" t="s">
        <v>14</v>
      </c>
      <c r="C100" t="s">
        <v>151</v>
      </c>
      <c r="D100">
        <v>76087216</v>
      </c>
      <c r="E100">
        <v>-96775000</v>
      </c>
      <c r="F100">
        <v>-90000000</v>
      </c>
      <c r="G100" t="s">
        <v>201</v>
      </c>
    </row>
    <row r="101" spans="1:7" hidden="1" x14ac:dyDescent="0.25">
      <c r="A101" t="s">
        <v>265</v>
      </c>
      <c r="B101" t="s">
        <v>14</v>
      </c>
      <c r="C101" t="s">
        <v>151</v>
      </c>
      <c r="D101">
        <v>76862216</v>
      </c>
      <c r="E101">
        <v>-102000000</v>
      </c>
      <c r="F101">
        <v>0</v>
      </c>
      <c r="G101" t="s">
        <v>201</v>
      </c>
    </row>
    <row r="102" spans="1:7" hidden="1" x14ac:dyDescent="0.25">
      <c r="A102" t="s">
        <v>266</v>
      </c>
      <c r="B102" t="s">
        <v>14</v>
      </c>
      <c r="C102" t="s">
        <v>151</v>
      </c>
      <c r="D102">
        <v>80087216</v>
      </c>
      <c r="E102">
        <v>-106575000</v>
      </c>
      <c r="F102">
        <v>-90000000</v>
      </c>
      <c r="G102" t="s">
        <v>201</v>
      </c>
    </row>
    <row r="103" spans="1:7" hidden="1" x14ac:dyDescent="0.25">
      <c r="A103" t="s">
        <v>267</v>
      </c>
      <c r="B103" t="s">
        <v>14</v>
      </c>
      <c r="C103" t="s">
        <v>151</v>
      </c>
      <c r="D103">
        <v>82387216</v>
      </c>
      <c r="E103">
        <v>-105800000</v>
      </c>
      <c r="F103">
        <v>0</v>
      </c>
      <c r="G103" t="s">
        <v>201</v>
      </c>
    </row>
    <row r="104" spans="1:7" hidden="1" x14ac:dyDescent="0.25">
      <c r="A104" t="s">
        <v>268</v>
      </c>
      <c r="B104" t="s">
        <v>14</v>
      </c>
      <c r="C104" t="s">
        <v>151</v>
      </c>
      <c r="D104">
        <v>84687216</v>
      </c>
      <c r="E104">
        <v>-106575000</v>
      </c>
      <c r="F104">
        <v>90000000</v>
      </c>
      <c r="G104" t="s">
        <v>201</v>
      </c>
    </row>
    <row r="105" spans="1:7" hidden="1" x14ac:dyDescent="0.25">
      <c r="A105" t="s">
        <v>269</v>
      </c>
      <c r="B105" t="s">
        <v>15</v>
      </c>
      <c r="C105" t="s">
        <v>151</v>
      </c>
      <c r="D105">
        <v>82412216</v>
      </c>
      <c r="E105">
        <v>-96900000</v>
      </c>
      <c r="F105">
        <v>180000000</v>
      </c>
      <c r="G105" t="s">
        <v>201</v>
      </c>
    </row>
    <row r="106" spans="1:7" hidden="1" x14ac:dyDescent="0.25">
      <c r="A106" t="s">
        <v>270</v>
      </c>
      <c r="B106" t="s">
        <v>15</v>
      </c>
      <c r="C106" t="s">
        <v>151</v>
      </c>
      <c r="D106">
        <v>89087216</v>
      </c>
      <c r="E106">
        <v>-96000000</v>
      </c>
      <c r="F106">
        <v>0</v>
      </c>
      <c r="G106" t="s">
        <v>201</v>
      </c>
    </row>
    <row r="107" spans="1:7" hidden="1" x14ac:dyDescent="0.25">
      <c r="A107" t="s">
        <v>271</v>
      </c>
      <c r="B107" t="s">
        <v>14</v>
      </c>
      <c r="C107" t="s">
        <v>151</v>
      </c>
      <c r="D107">
        <v>76103465</v>
      </c>
      <c r="E107">
        <v>-137575000</v>
      </c>
      <c r="F107">
        <v>-90000000</v>
      </c>
      <c r="G107" t="s">
        <v>201</v>
      </c>
    </row>
    <row r="108" spans="1:7" hidden="1" x14ac:dyDescent="0.25">
      <c r="A108" t="s">
        <v>272</v>
      </c>
      <c r="B108" t="s">
        <v>14</v>
      </c>
      <c r="C108" t="s">
        <v>151</v>
      </c>
      <c r="D108">
        <v>76103465</v>
      </c>
      <c r="E108">
        <v>-143575000</v>
      </c>
      <c r="F108">
        <v>-90000000</v>
      </c>
      <c r="G108" t="s">
        <v>201</v>
      </c>
    </row>
    <row r="109" spans="1:7" hidden="1" x14ac:dyDescent="0.25">
      <c r="A109" t="s">
        <v>273</v>
      </c>
      <c r="B109" t="s">
        <v>14</v>
      </c>
      <c r="C109" t="s">
        <v>151</v>
      </c>
      <c r="D109">
        <v>76878465</v>
      </c>
      <c r="E109">
        <v>-148300000</v>
      </c>
      <c r="F109">
        <v>180000000</v>
      </c>
      <c r="G109" t="s">
        <v>201</v>
      </c>
    </row>
    <row r="110" spans="1:7" hidden="1" x14ac:dyDescent="0.25">
      <c r="A110" t="s">
        <v>274</v>
      </c>
      <c r="B110" t="s">
        <v>14</v>
      </c>
      <c r="C110" t="s">
        <v>151</v>
      </c>
      <c r="D110">
        <v>76103465</v>
      </c>
      <c r="E110">
        <v>-140575000</v>
      </c>
      <c r="F110">
        <v>-90000000</v>
      </c>
      <c r="G110" t="s">
        <v>201</v>
      </c>
    </row>
    <row r="111" spans="1:7" hidden="1" x14ac:dyDescent="0.25">
      <c r="A111" t="s">
        <v>275</v>
      </c>
      <c r="B111" t="s">
        <v>14</v>
      </c>
      <c r="C111" t="s">
        <v>151</v>
      </c>
      <c r="D111">
        <v>76878465</v>
      </c>
      <c r="E111">
        <v>-145800000</v>
      </c>
      <c r="F111">
        <v>0</v>
      </c>
      <c r="G111" t="s">
        <v>201</v>
      </c>
    </row>
    <row r="112" spans="1:7" hidden="1" x14ac:dyDescent="0.25">
      <c r="A112" t="s">
        <v>276</v>
      </c>
      <c r="B112" t="s">
        <v>14</v>
      </c>
      <c r="C112" t="s">
        <v>151</v>
      </c>
      <c r="D112">
        <v>80103465</v>
      </c>
      <c r="E112">
        <v>-150375000</v>
      </c>
      <c r="F112">
        <v>-90000000</v>
      </c>
      <c r="G112" t="s">
        <v>201</v>
      </c>
    </row>
    <row r="113" spans="1:7" hidden="1" x14ac:dyDescent="0.25">
      <c r="A113" t="s">
        <v>277</v>
      </c>
      <c r="B113" t="s">
        <v>14</v>
      </c>
      <c r="C113" t="s">
        <v>151</v>
      </c>
      <c r="D113">
        <v>82403465</v>
      </c>
      <c r="E113">
        <v>-149600000</v>
      </c>
      <c r="F113">
        <v>0</v>
      </c>
      <c r="G113" t="s">
        <v>201</v>
      </c>
    </row>
    <row r="114" spans="1:7" hidden="1" x14ac:dyDescent="0.25">
      <c r="A114" t="s">
        <v>278</v>
      </c>
      <c r="B114" t="s">
        <v>14</v>
      </c>
      <c r="C114" t="s">
        <v>151</v>
      </c>
      <c r="D114">
        <v>84703465</v>
      </c>
      <c r="E114">
        <v>-150375000</v>
      </c>
      <c r="F114">
        <v>90000000</v>
      </c>
      <c r="G114" t="s">
        <v>201</v>
      </c>
    </row>
    <row r="115" spans="1:7" hidden="1" x14ac:dyDescent="0.25">
      <c r="A115" t="s">
        <v>279</v>
      </c>
      <c r="B115" t="s">
        <v>15</v>
      </c>
      <c r="C115" t="s">
        <v>151</v>
      </c>
      <c r="D115">
        <v>82428465</v>
      </c>
      <c r="E115">
        <v>-140700000</v>
      </c>
      <c r="F115">
        <v>180000000</v>
      </c>
      <c r="G115" t="s">
        <v>201</v>
      </c>
    </row>
    <row r="116" spans="1:7" hidden="1" x14ac:dyDescent="0.25">
      <c r="A116" t="s">
        <v>280</v>
      </c>
      <c r="B116" t="s">
        <v>15</v>
      </c>
      <c r="C116" t="s">
        <v>151</v>
      </c>
      <c r="D116">
        <v>89103465</v>
      </c>
      <c r="E116">
        <v>-139800000</v>
      </c>
      <c r="F116">
        <v>0</v>
      </c>
      <c r="G116" t="s">
        <v>201</v>
      </c>
    </row>
    <row r="117" spans="1:7" hidden="1" x14ac:dyDescent="0.25">
      <c r="A117" t="s">
        <v>281</v>
      </c>
      <c r="B117" t="s">
        <v>14</v>
      </c>
      <c r="C117" t="s">
        <v>151</v>
      </c>
      <c r="D117">
        <v>76103465</v>
      </c>
      <c r="E117">
        <v>-181375000</v>
      </c>
      <c r="F117">
        <v>-90000000</v>
      </c>
      <c r="G117" t="s">
        <v>201</v>
      </c>
    </row>
    <row r="118" spans="1:7" hidden="1" x14ac:dyDescent="0.25">
      <c r="A118" t="s">
        <v>282</v>
      </c>
      <c r="B118" t="s">
        <v>14</v>
      </c>
      <c r="C118" t="s">
        <v>151</v>
      </c>
      <c r="D118">
        <v>76103465</v>
      </c>
      <c r="E118">
        <v>-187375000</v>
      </c>
      <c r="F118">
        <v>-90000000</v>
      </c>
      <c r="G118" t="s">
        <v>201</v>
      </c>
    </row>
    <row r="119" spans="1:7" hidden="1" x14ac:dyDescent="0.25">
      <c r="A119" t="s">
        <v>283</v>
      </c>
      <c r="B119" t="s">
        <v>14</v>
      </c>
      <c r="C119" t="s">
        <v>151</v>
      </c>
      <c r="D119">
        <v>76878465</v>
      </c>
      <c r="E119">
        <v>-192100000</v>
      </c>
      <c r="F119">
        <v>180000000</v>
      </c>
      <c r="G119" t="s">
        <v>201</v>
      </c>
    </row>
    <row r="120" spans="1:7" hidden="1" x14ac:dyDescent="0.25">
      <c r="A120" t="s">
        <v>284</v>
      </c>
      <c r="B120" t="s">
        <v>14</v>
      </c>
      <c r="C120" t="s">
        <v>151</v>
      </c>
      <c r="D120">
        <v>76103465</v>
      </c>
      <c r="E120">
        <v>-184375000</v>
      </c>
      <c r="F120">
        <v>-90000000</v>
      </c>
      <c r="G120" t="s">
        <v>201</v>
      </c>
    </row>
    <row r="121" spans="1:7" hidden="1" x14ac:dyDescent="0.25">
      <c r="A121" t="s">
        <v>285</v>
      </c>
      <c r="B121" t="s">
        <v>14</v>
      </c>
      <c r="C121" t="s">
        <v>151</v>
      </c>
      <c r="D121">
        <v>76878465</v>
      </c>
      <c r="E121">
        <v>-189600000</v>
      </c>
      <c r="F121">
        <v>0</v>
      </c>
      <c r="G121" t="s">
        <v>201</v>
      </c>
    </row>
    <row r="122" spans="1:7" hidden="1" x14ac:dyDescent="0.25">
      <c r="A122" t="s">
        <v>286</v>
      </c>
      <c r="B122" t="s">
        <v>14</v>
      </c>
      <c r="C122" t="s">
        <v>151</v>
      </c>
      <c r="D122">
        <v>80103465</v>
      </c>
      <c r="E122">
        <v>-194175000</v>
      </c>
      <c r="F122">
        <v>-90000000</v>
      </c>
      <c r="G122" t="s">
        <v>201</v>
      </c>
    </row>
    <row r="123" spans="1:7" hidden="1" x14ac:dyDescent="0.25">
      <c r="A123" t="s">
        <v>287</v>
      </c>
      <c r="B123" t="s">
        <v>14</v>
      </c>
      <c r="C123" t="s">
        <v>151</v>
      </c>
      <c r="D123">
        <v>82403465</v>
      </c>
      <c r="E123">
        <v>-193400000</v>
      </c>
      <c r="F123">
        <v>0</v>
      </c>
      <c r="G123" t="s">
        <v>201</v>
      </c>
    </row>
    <row r="124" spans="1:7" hidden="1" x14ac:dyDescent="0.25">
      <c r="A124" t="s">
        <v>288</v>
      </c>
      <c r="B124" t="s">
        <v>14</v>
      </c>
      <c r="C124" t="s">
        <v>151</v>
      </c>
      <c r="D124">
        <v>84703465</v>
      </c>
      <c r="E124">
        <v>-194175000</v>
      </c>
      <c r="F124">
        <v>90000000</v>
      </c>
      <c r="G124" t="s">
        <v>201</v>
      </c>
    </row>
    <row r="125" spans="1:7" hidden="1" x14ac:dyDescent="0.25">
      <c r="A125" t="s">
        <v>289</v>
      </c>
      <c r="B125" t="s">
        <v>15</v>
      </c>
      <c r="C125" t="s">
        <v>151</v>
      </c>
      <c r="D125">
        <v>82428465</v>
      </c>
      <c r="E125">
        <v>-184500000</v>
      </c>
      <c r="F125">
        <v>180000000</v>
      </c>
      <c r="G125" t="s">
        <v>201</v>
      </c>
    </row>
    <row r="126" spans="1:7" hidden="1" x14ac:dyDescent="0.25">
      <c r="A126" t="s">
        <v>290</v>
      </c>
      <c r="B126" t="s">
        <v>15</v>
      </c>
      <c r="C126" t="s">
        <v>151</v>
      </c>
      <c r="D126">
        <v>89103465</v>
      </c>
      <c r="E126">
        <v>-183600000</v>
      </c>
      <c r="F126">
        <v>0</v>
      </c>
      <c r="G126" t="s">
        <v>201</v>
      </c>
    </row>
    <row r="127" spans="1:7" hidden="1" x14ac:dyDescent="0.25">
      <c r="A127" t="s">
        <v>291</v>
      </c>
      <c r="B127" t="s">
        <v>14</v>
      </c>
      <c r="C127" t="s">
        <v>151</v>
      </c>
      <c r="D127">
        <v>143600000</v>
      </c>
      <c r="E127">
        <v>-166000000</v>
      </c>
      <c r="F127">
        <v>90000000</v>
      </c>
      <c r="G127" t="s">
        <v>201</v>
      </c>
    </row>
    <row r="128" spans="1:7" hidden="1" x14ac:dyDescent="0.25">
      <c r="A128" t="s">
        <v>292</v>
      </c>
      <c r="B128" t="s">
        <v>14</v>
      </c>
      <c r="C128" t="s">
        <v>151</v>
      </c>
      <c r="D128">
        <v>142100000</v>
      </c>
      <c r="E128">
        <v>-166000000</v>
      </c>
      <c r="F128">
        <v>90000000</v>
      </c>
      <c r="G128" t="s">
        <v>201</v>
      </c>
    </row>
    <row r="129" spans="1:7" hidden="1" x14ac:dyDescent="0.25">
      <c r="A129" t="s">
        <v>293</v>
      </c>
      <c r="B129" t="s">
        <v>14</v>
      </c>
      <c r="C129" t="s">
        <v>151</v>
      </c>
      <c r="D129">
        <v>143625000</v>
      </c>
      <c r="E129">
        <v>-153800000</v>
      </c>
      <c r="F129">
        <v>180000000</v>
      </c>
      <c r="G129" t="s">
        <v>201</v>
      </c>
    </row>
    <row r="130" spans="1:7" hidden="1" x14ac:dyDescent="0.25">
      <c r="A130" t="s">
        <v>294</v>
      </c>
      <c r="B130" t="s">
        <v>26</v>
      </c>
      <c r="C130" t="s">
        <v>213</v>
      </c>
      <c r="D130">
        <v>111700000</v>
      </c>
      <c r="E130">
        <v>-175100000</v>
      </c>
      <c r="F130">
        <v>-90000000</v>
      </c>
      <c r="G130" t="s">
        <v>201</v>
      </c>
    </row>
    <row r="131" spans="1:7" hidden="1" x14ac:dyDescent="0.25">
      <c r="A131" t="s">
        <v>295</v>
      </c>
      <c r="B131" t="s">
        <v>26</v>
      </c>
      <c r="C131" t="s">
        <v>213</v>
      </c>
      <c r="D131">
        <v>109400000</v>
      </c>
      <c r="E131">
        <v>-175100000</v>
      </c>
      <c r="F131">
        <v>-90000000</v>
      </c>
      <c r="G131" t="s">
        <v>201</v>
      </c>
    </row>
    <row r="132" spans="1:7" hidden="1" x14ac:dyDescent="0.25">
      <c r="A132" t="s">
        <v>296</v>
      </c>
      <c r="B132" t="s">
        <v>14</v>
      </c>
      <c r="C132" t="s">
        <v>151</v>
      </c>
      <c r="D132">
        <v>135700000</v>
      </c>
      <c r="E132">
        <v>-164200000</v>
      </c>
      <c r="F132">
        <v>-90000000</v>
      </c>
      <c r="G132" t="s">
        <v>201</v>
      </c>
    </row>
    <row r="133" spans="1:7" hidden="1" x14ac:dyDescent="0.25">
      <c r="A133" t="s">
        <v>297</v>
      </c>
      <c r="B133" t="s">
        <v>25</v>
      </c>
      <c r="C133" t="s">
        <v>213</v>
      </c>
      <c r="D133">
        <v>107100000</v>
      </c>
      <c r="E133">
        <v>-175100000</v>
      </c>
      <c r="F133">
        <v>-90000000</v>
      </c>
      <c r="G133" t="s">
        <v>201</v>
      </c>
    </row>
    <row r="134" spans="1:7" hidden="1" x14ac:dyDescent="0.25">
      <c r="A134" t="s">
        <v>298</v>
      </c>
      <c r="B134" t="s">
        <v>15</v>
      </c>
      <c r="C134" t="s">
        <v>151</v>
      </c>
      <c r="D134">
        <v>139400000</v>
      </c>
      <c r="E134">
        <v>-152200000</v>
      </c>
      <c r="F134">
        <v>90000000</v>
      </c>
      <c r="G134" t="s">
        <v>201</v>
      </c>
    </row>
    <row r="135" spans="1:7" hidden="1" x14ac:dyDescent="0.25">
      <c r="A135" t="s">
        <v>299</v>
      </c>
      <c r="B135" t="s">
        <v>14</v>
      </c>
      <c r="C135" t="s">
        <v>151</v>
      </c>
      <c r="D135">
        <v>137900000</v>
      </c>
      <c r="E135">
        <v>-152200000</v>
      </c>
      <c r="F135">
        <v>90000000</v>
      </c>
      <c r="G135" t="s">
        <v>201</v>
      </c>
    </row>
    <row r="136" spans="1:7" hidden="1" x14ac:dyDescent="0.25">
      <c r="A136" t="s">
        <v>300</v>
      </c>
      <c r="B136" t="s">
        <v>25</v>
      </c>
      <c r="C136" t="s">
        <v>213</v>
      </c>
      <c r="D136">
        <v>104800000</v>
      </c>
      <c r="E136">
        <v>-175100000</v>
      </c>
      <c r="F136">
        <v>-90000000</v>
      </c>
      <c r="G136" t="s">
        <v>201</v>
      </c>
    </row>
    <row r="137" spans="1:7" hidden="1" x14ac:dyDescent="0.25">
      <c r="A137" t="s">
        <v>301</v>
      </c>
      <c r="B137" t="s">
        <v>14</v>
      </c>
      <c r="C137" t="s">
        <v>151</v>
      </c>
      <c r="D137">
        <v>110800000</v>
      </c>
      <c r="E137">
        <v>-155100000</v>
      </c>
      <c r="F137">
        <v>0</v>
      </c>
      <c r="G137" t="s">
        <v>201</v>
      </c>
    </row>
    <row r="138" spans="1:7" hidden="1" x14ac:dyDescent="0.25">
      <c r="A138" t="s">
        <v>302</v>
      </c>
      <c r="B138" t="s">
        <v>14</v>
      </c>
      <c r="C138" t="s">
        <v>151</v>
      </c>
      <c r="D138">
        <v>129000000</v>
      </c>
      <c r="E138">
        <v>-155100000</v>
      </c>
      <c r="F138">
        <v>180000000</v>
      </c>
      <c r="G138" t="s">
        <v>201</v>
      </c>
    </row>
    <row r="139" spans="1:7" hidden="1" x14ac:dyDescent="0.25">
      <c r="A139" t="s">
        <v>303</v>
      </c>
      <c r="B139" t="s">
        <v>25</v>
      </c>
      <c r="C139" t="s">
        <v>213</v>
      </c>
      <c r="D139">
        <v>128100000</v>
      </c>
      <c r="E139">
        <v>-175100000</v>
      </c>
      <c r="F139">
        <v>-90000000</v>
      </c>
      <c r="G139" t="s">
        <v>201</v>
      </c>
    </row>
    <row r="140" spans="1:7" hidden="1" x14ac:dyDescent="0.25">
      <c r="A140" t="s">
        <v>304</v>
      </c>
      <c r="B140" t="s">
        <v>25</v>
      </c>
      <c r="C140" t="s">
        <v>213</v>
      </c>
      <c r="D140">
        <v>130450000</v>
      </c>
      <c r="E140">
        <v>-175100000</v>
      </c>
      <c r="F140">
        <v>-90000000</v>
      </c>
      <c r="G140" t="s">
        <v>201</v>
      </c>
    </row>
    <row r="141" spans="1:7" hidden="1" x14ac:dyDescent="0.25">
      <c r="A141" t="s">
        <v>305</v>
      </c>
      <c r="B141" t="s">
        <v>25</v>
      </c>
      <c r="C141" t="s">
        <v>213</v>
      </c>
      <c r="D141">
        <v>132800000</v>
      </c>
      <c r="E141">
        <v>-175100000</v>
      </c>
      <c r="F141">
        <v>-90000000</v>
      </c>
      <c r="G141" t="s">
        <v>201</v>
      </c>
    </row>
    <row r="142" spans="1:7" hidden="1" x14ac:dyDescent="0.25">
      <c r="A142" t="s">
        <v>306</v>
      </c>
      <c r="B142" t="s">
        <v>307</v>
      </c>
      <c r="C142" t="s">
        <v>213</v>
      </c>
      <c r="D142">
        <v>135100000</v>
      </c>
      <c r="E142">
        <v>-175100000</v>
      </c>
      <c r="F142">
        <v>-90000000</v>
      </c>
      <c r="G142" t="s">
        <v>201</v>
      </c>
    </row>
    <row r="143" spans="1:7" hidden="1" x14ac:dyDescent="0.25">
      <c r="A143" t="s">
        <v>308</v>
      </c>
      <c r="B143" t="s">
        <v>307</v>
      </c>
      <c r="C143" t="s">
        <v>213</v>
      </c>
      <c r="D143">
        <v>137400000</v>
      </c>
      <c r="E143">
        <v>-175100000</v>
      </c>
      <c r="F143">
        <v>-90000000</v>
      </c>
      <c r="G143" t="s">
        <v>201</v>
      </c>
    </row>
    <row r="144" spans="1:7" hidden="1" x14ac:dyDescent="0.25">
      <c r="A144" t="s">
        <v>309</v>
      </c>
      <c r="B144" t="s">
        <v>14</v>
      </c>
      <c r="C144" t="s">
        <v>151</v>
      </c>
      <c r="D144">
        <v>150800000</v>
      </c>
      <c r="E144">
        <v>-168200000</v>
      </c>
      <c r="F144">
        <v>180000000</v>
      </c>
      <c r="G144" t="s">
        <v>201</v>
      </c>
    </row>
    <row r="145" spans="1:7" hidden="1" x14ac:dyDescent="0.25">
      <c r="A145" t="s">
        <v>310</v>
      </c>
      <c r="B145" t="s">
        <v>24</v>
      </c>
      <c r="C145" t="s">
        <v>151</v>
      </c>
      <c r="D145">
        <v>131900000</v>
      </c>
      <c r="E145">
        <v>-181400000</v>
      </c>
      <c r="F145">
        <v>-90000000</v>
      </c>
      <c r="G145" t="s">
        <v>201</v>
      </c>
    </row>
    <row r="146" spans="1:7" hidden="1" x14ac:dyDescent="0.25">
      <c r="A146" t="s">
        <v>311</v>
      </c>
      <c r="B146" t="s">
        <v>24</v>
      </c>
      <c r="C146" t="s">
        <v>151</v>
      </c>
      <c r="D146">
        <v>130400000</v>
      </c>
      <c r="E146">
        <v>-181400000</v>
      </c>
      <c r="F146">
        <v>-90000000</v>
      </c>
      <c r="G146" t="s">
        <v>201</v>
      </c>
    </row>
    <row r="147" spans="1:7" hidden="1" x14ac:dyDescent="0.25">
      <c r="A147" t="s">
        <v>312</v>
      </c>
      <c r="B147" t="s">
        <v>14</v>
      </c>
      <c r="C147" t="s">
        <v>151</v>
      </c>
      <c r="D147">
        <v>128100000</v>
      </c>
      <c r="E147">
        <v>-182100000</v>
      </c>
      <c r="F147">
        <v>0</v>
      </c>
      <c r="G147" t="s">
        <v>201</v>
      </c>
    </row>
    <row r="148" spans="1:7" hidden="1" x14ac:dyDescent="0.25">
      <c r="A148" t="s">
        <v>313</v>
      </c>
      <c r="B148" t="s">
        <v>14</v>
      </c>
      <c r="C148" t="s">
        <v>151</v>
      </c>
      <c r="D148">
        <v>127500000</v>
      </c>
      <c r="E148">
        <v>-183600000</v>
      </c>
      <c r="F148">
        <v>0</v>
      </c>
      <c r="G148" t="s">
        <v>201</v>
      </c>
    </row>
    <row r="149" spans="1:7" hidden="1" x14ac:dyDescent="0.25">
      <c r="A149" t="s">
        <v>314</v>
      </c>
      <c r="B149" t="s">
        <v>24</v>
      </c>
      <c r="C149" t="s">
        <v>151</v>
      </c>
      <c r="D149">
        <v>118700000</v>
      </c>
      <c r="E149">
        <v>-181400000</v>
      </c>
      <c r="F149">
        <v>-90000000</v>
      </c>
      <c r="G149" t="s">
        <v>201</v>
      </c>
    </row>
    <row r="150" spans="1:7" hidden="1" x14ac:dyDescent="0.25">
      <c r="A150" t="s">
        <v>315</v>
      </c>
      <c r="B150" t="s">
        <v>24</v>
      </c>
      <c r="C150" t="s">
        <v>151</v>
      </c>
      <c r="D150">
        <v>117200000</v>
      </c>
      <c r="E150">
        <v>-181400000</v>
      </c>
      <c r="F150">
        <v>-90000000</v>
      </c>
      <c r="G150" t="s">
        <v>201</v>
      </c>
    </row>
    <row r="151" spans="1:7" hidden="1" x14ac:dyDescent="0.25">
      <c r="A151" t="s">
        <v>316</v>
      </c>
      <c r="B151" t="s">
        <v>14</v>
      </c>
      <c r="C151" t="s">
        <v>151</v>
      </c>
      <c r="D151">
        <v>114900000</v>
      </c>
      <c r="E151">
        <v>-182100000</v>
      </c>
      <c r="F151">
        <v>0</v>
      </c>
      <c r="G151" t="s">
        <v>201</v>
      </c>
    </row>
    <row r="152" spans="1:7" hidden="1" x14ac:dyDescent="0.25">
      <c r="A152" t="s">
        <v>317</v>
      </c>
      <c r="B152" t="s">
        <v>14</v>
      </c>
      <c r="C152" t="s">
        <v>151</v>
      </c>
      <c r="D152">
        <v>114175000</v>
      </c>
      <c r="E152">
        <v>-183600000</v>
      </c>
      <c r="F152">
        <v>0</v>
      </c>
      <c r="G152" t="s">
        <v>201</v>
      </c>
    </row>
    <row r="153" spans="1:7" hidden="1" x14ac:dyDescent="0.25">
      <c r="A153" t="s">
        <v>318</v>
      </c>
      <c r="B153" t="s">
        <v>14</v>
      </c>
      <c r="C153" t="s">
        <v>151</v>
      </c>
      <c r="D153">
        <v>132900000</v>
      </c>
      <c r="E153">
        <v>-204200000</v>
      </c>
      <c r="F153">
        <v>90000000</v>
      </c>
      <c r="G153" t="s">
        <v>201</v>
      </c>
    </row>
    <row r="154" spans="1:7" hidden="1" x14ac:dyDescent="0.25">
      <c r="A154" t="s">
        <v>319</v>
      </c>
      <c r="B154" t="s">
        <v>14</v>
      </c>
      <c r="C154" t="s">
        <v>151</v>
      </c>
      <c r="D154">
        <v>133700000</v>
      </c>
      <c r="E154">
        <v>-201700000</v>
      </c>
      <c r="F154">
        <v>0</v>
      </c>
      <c r="G154" t="s">
        <v>201</v>
      </c>
    </row>
    <row r="155" spans="1:7" hidden="1" x14ac:dyDescent="0.25">
      <c r="A155" t="s">
        <v>320</v>
      </c>
      <c r="B155" t="s">
        <v>94</v>
      </c>
      <c r="C155" t="s">
        <v>163</v>
      </c>
      <c r="D155">
        <v>80887216</v>
      </c>
      <c r="E155">
        <v>-114700000</v>
      </c>
      <c r="F155">
        <v>-90000000</v>
      </c>
      <c r="G155" t="s">
        <v>201</v>
      </c>
    </row>
    <row r="156" spans="1:7" hidden="1" x14ac:dyDescent="0.25">
      <c r="A156" t="s">
        <v>321</v>
      </c>
      <c r="B156" t="s">
        <v>94</v>
      </c>
      <c r="C156" t="s">
        <v>163</v>
      </c>
      <c r="D156">
        <v>80903465</v>
      </c>
      <c r="E156">
        <v>-158500000</v>
      </c>
      <c r="F156">
        <v>-90000000</v>
      </c>
      <c r="G156" t="s">
        <v>201</v>
      </c>
    </row>
    <row r="157" spans="1:7" hidden="1" x14ac:dyDescent="0.25">
      <c r="A157" t="s">
        <v>322</v>
      </c>
      <c r="B157" t="s">
        <v>94</v>
      </c>
      <c r="C157" t="s">
        <v>163</v>
      </c>
      <c r="D157">
        <v>80903465</v>
      </c>
      <c r="E157">
        <v>-202300000</v>
      </c>
      <c r="F157">
        <v>-90000000</v>
      </c>
      <c r="G157" t="s">
        <v>201</v>
      </c>
    </row>
    <row r="158" spans="1:7" hidden="1" x14ac:dyDescent="0.25">
      <c r="A158" t="s">
        <v>323</v>
      </c>
      <c r="B158" t="s">
        <v>73</v>
      </c>
      <c r="C158" t="s">
        <v>163</v>
      </c>
      <c r="D158">
        <v>125000000</v>
      </c>
      <c r="E158">
        <v>-117300000</v>
      </c>
      <c r="F158">
        <v>0</v>
      </c>
      <c r="G158" t="s">
        <v>201</v>
      </c>
    </row>
    <row r="159" spans="1:7" hidden="1" x14ac:dyDescent="0.25">
      <c r="A159" t="s">
        <v>324</v>
      </c>
      <c r="B159" t="s">
        <v>73</v>
      </c>
      <c r="C159" t="s">
        <v>163</v>
      </c>
      <c r="D159">
        <v>125000000</v>
      </c>
      <c r="E159">
        <v>-141950000</v>
      </c>
      <c r="F159">
        <v>0</v>
      </c>
      <c r="G159" t="s">
        <v>201</v>
      </c>
    </row>
    <row r="160" spans="1:7" hidden="1" x14ac:dyDescent="0.25">
      <c r="A160" t="s">
        <v>325</v>
      </c>
      <c r="B160" t="s">
        <v>73</v>
      </c>
      <c r="C160" t="s">
        <v>163</v>
      </c>
      <c r="D160">
        <v>152200000</v>
      </c>
      <c r="E160">
        <v>-163500000</v>
      </c>
      <c r="F160">
        <v>90000000</v>
      </c>
      <c r="G160" t="s">
        <v>201</v>
      </c>
    </row>
    <row r="161" spans="1:7" hidden="1" x14ac:dyDescent="0.25">
      <c r="A161" t="s">
        <v>326</v>
      </c>
      <c r="B161" t="s">
        <v>126</v>
      </c>
      <c r="C161" t="s">
        <v>327</v>
      </c>
      <c r="D161">
        <v>93200000</v>
      </c>
      <c r="E161">
        <v>-113100000</v>
      </c>
      <c r="F161">
        <v>180000000</v>
      </c>
      <c r="G161" t="s">
        <v>201</v>
      </c>
    </row>
    <row r="162" spans="1:7" hidden="1" x14ac:dyDescent="0.25">
      <c r="A162" t="s">
        <v>328</v>
      </c>
      <c r="B162" t="s">
        <v>128</v>
      </c>
      <c r="C162" t="s">
        <v>327</v>
      </c>
      <c r="D162">
        <v>93200000</v>
      </c>
      <c r="E162">
        <v>-115500000</v>
      </c>
      <c r="F162">
        <v>180000000</v>
      </c>
      <c r="G162" t="s">
        <v>201</v>
      </c>
    </row>
    <row r="163" spans="1:7" hidden="1" x14ac:dyDescent="0.25">
      <c r="A163" t="s">
        <v>329</v>
      </c>
      <c r="B163" t="s">
        <v>123</v>
      </c>
      <c r="C163" t="s">
        <v>327</v>
      </c>
      <c r="D163">
        <v>93200000</v>
      </c>
      <c r="E163">
        <v>-117900000</v>
      </c>
      <c r="F163">
        <v>180000000</v>
      </c>
      <c r="G163" t="s">
        <v>201</v>
      </c>
    </row>
    <row r="164" spans="1:7" hidden="1" x14ac:dyDescent="0.25">
      <c r="A164" t="s">
        <v>330</v>
      </c>
      <c r="B164" t="s">
        <v>86</v>
      </c>
      <c r="C164" t="s">
        <v>331</v>
      </c>
      <c r="D164">
        <v>138837500</v>
      </c>
      <c r="E164">
        <v>-92000000</v>
      </c>
      <c r="F164">
        <v>180000000</v>
      </c>
      <c r="G164" t="s">
        <v>201</v>
      </c>
    </row>
    <row r="165" spans="1:7" hidden="1" x14ac:dyDescent="0.25">
      <c r="A165" t="s">
        <v>332</v>
      </c>
      <c r="B165" t="s">
        <v>126</v>
      </c>
      <c r="C165" t="s">
        <v>327</v>
      </c>
      <c r="D165">
        <v>93196415</v>
      </c>
      <c r="E165">
        <v>-156900000</v>
      </c>
      <c r="F165">
        <v>180000000</v>
      </c>
      <c r="G165" t="s">
        <v>201</v>
      </c>
    </row>
    <row r="166" spans="1:7" hidden="1" x14ac:dyDescent="0.25">
      <c r="A166" t="s">
        <v>333</v>
      </c>
      <c r="B166" t="s">
        <v>128</v>
      </c>
      <c r="C166" t="s">
        <v>327</v>
      </c>
      <c r="D166">
        <v>93196415</v>
      </c>
      <c r="E166">
        <v>-159300000</v>
      </c>
      <c r="F166">
        <v>180000000</v>
      </c>
      <c r="G166" t="s">
        <v>201</v>
      </c>
    </row>
    <row r="167" spans="1:7" hidden="1" x14ac:dyDescent="0.25">
      <c r="A167" t="s">
        <v>334</v>
      </c>
      <c r="B167" t="s">
        <v>123</v>
      </c>
      <c r="C167" t="s">
        <v>327</v>
      </c>
      <c r="D167">
        <v>93196415</v>
      </c>
      <c r="E167">
        <v>-161700000</v>
      </c>
      <c r="F167">
        <v>180000000</v>
      </c>
      <c r="G167" t="s">
        <v>201</v>
      </c>
    </row>
    <row r="168" spans="1:7" hidden="1" x14ac:dyDescent="0.25">
      <c r="A168" t="s">
        <v>335</v>
      </c>
      <c r="B168" t="s">
        <v>86</v>
      </c>
      <c r="C168" t="s">
        <v>331</v>
      </c>
      <c r="D168">
        <v>138833915</v>
      </c>
      <c r="E168">
        <v>-116700000</v>
      </c>
      <c r="F168">
        <v>180000000</v>
      </c>
      <c r="G168" t="s">
        <v>201</v>
      </c>
    </row>
    <row r="169" spans="1:7" hidden="1" x14ac:dyDescent="0.25">
      <c r="A169" t="s">
        <v>336</v>
      </c>
      <c r="B169" t="s">
        <v>126</v>
      </c>
      <c r="C169" t="s">
        <v>327</v>
      </c>
      <c r="D169">
        <v>93196415</v>
      </c>
      <c r="E169">
        <v>-200700000</v>
      </c>
      <c r="F169">
        <v>180000000</v>
      </c>
      <c r="G169" t="s">
        <v>201</v>
      </c>
    </row>
    <row r="170" spans="1:7" hidden="1" x14ac:dyDescent="0.25">
      <c r="A170" t="s">
        <v>337</v>
      </c>
      <c r="B170" t="s">
        <v>128</v>
      </c>
      <c r="C170" t="s">
        <v>327</v>
      </c>
      <c r="D170">
        <v>93196415</v>
      </c>
      <c r="E170">
        <v>-203100000</v>
      </c>
      <c r="F170">
        <v>180000000</v>
      </c>
      <c r="G170" t="s">
        <v>201</v>
      </c>
    </row>
    <row r="171" spans="1:7" hidden="1" x14ac:dyDescent="0.25">
      <c r="A171" t="s">
        <v>338</v>
      </c>
      <c r="B171" t="s">
        <v>123</v>
      </c>
      <c r="C171" t="s">
        <v>327</v>
      </c>
      <c r="D171">
        <v>93196415</v>
      </c>
      <c r="E171">
        <v>-205500000</v>
      </c>
      <c r="F171">
        <v>180000000</v>
      </c>
      <c r="G171" t="s">
        <v>201</v>
      </c>
    </row>
    <row r="172" spans="1:7" hidden="1" x14ac:dyDescent="0.25">
      <c r="A172" t="s">
        <v>339</v>
      </c>
      <c r="B172" t="s">
        <v>86</v>
      </c>
      <c r="C172" t="s">
        <v>331</v>
      </c>
      <c r="D172">
        <v>138833915</v>
      </c>
      <c r="E172">
        <v>-141350000</v>
      </c>
      <c r="F172">
        <v>180000000</v>
      </c>
      <c r="G172" t="s">
        <v>201</v>
      </c>
    </row>
    <row r="173" spans="1:7" hidden="1" x14ac:dyDescent="0.25">
      <c r="A173" t="s">
        <v>340</v>
      </c>
      <c r="B173" t="s">
        <v>130</v>
      </c>
      <c r="C173" t="s">
        <v>341</v>
      </c>
      <c r="D173">
        <v>97552216</v>
      </c>
      <c r="E173">
        <v>-87860000</v>
      </c>
      <c r="F173">
        <v>90000000</v>
      </c>
      <c r="G173" t="s">
        <v>201</v>
      </c>
    </row>
    <row r="174" spans="1:7" hidden="1" x14ac:dyDescent="0.25">
      <c r="A174" t="s">
        <v>342</v>
      </c>
      <c r="B174" t="s">
        <v>130</v>
      </c>
      <c r="C174" t="s">
        <v>341</v>
      </c>
      <c r="D174">
        <v>97568465</v>
      </c>
      <c r="E174">
        <v>-131660000</v>
      </c>
      <c r="F174">
        <v>90000000</v>
      </c>
      <c r="G174" t="s">
        <v>201</v>
      </c>
    </row>
    <row r="175" spans="1:7" hidden="1" x14ac:dyDescent="0.25">
      <c r="A175" t="s">
        <v>343</v>
      </c>
      <c r="B175" t="s">
        <v>130</v>
      </c>
      <c r="C175" t="s">
        <v>341</v>
      </c>
      <c r="D175">
        <v>97568465</v>
      </c>
      <c r="E175">
        <v>-175460000</v>
      </c>
      <c r="F175">
        <v>90000000</v>
      </c>
      <c r="G175" t="s">
        <v>201</v>
      </c>
    </row>
    <row r="176" spans="1:7" hidden="1" x14ac:dyDescent="0.25">
      <c r="A176" t="s">
        <v>344</v>
      </c>
      <c r="B176" t="s">
        <v>142</v>
      </c>
      <c r="C176" t="s">
        <v>165</v>
      </c>
      <c r="D176">
        <v>135500000</v>
      </c>
      <c r="E176">
        <v>-166700000</v>
      </c>
      <c r="F176">
        <v>0</v>
      </c>
      <c r="G176" t="s">
        <v>201</v>
      </c>
    </row>
    <row r="177" spans="1:7" hidden="1" x14ac:dyDescent="0.25">
      <c r="A177" t="s">
        <v>345</v>
      </c>
      <c r="B177" t="s">
        <v>142</v>
      </c>
      <c r="C177" t="s">
        <v>165</v>
      </c>
      <c r="D177">
        <v>111300000</v>
      </c>
      <c r="E177">
        <v>-152300000</v>
      </c>
      <c r="F177">
        <v>-90000000</v>
      </c>
      <c r="G177" t="s">
        <v>201</v>
      </c>
    </row>
    <row r="178" spans="1:7" hidden="1" x14ac:dyDescent="0.25">
      <c r="A178" t="s">
        <v>346</v>
      </c>
      <c r="B178" t="s">
        <v>142</v>
      </c>
      <c r="C178" t="s">
        <v>165</v>
      </c>
      <c r="D178">
        <v>129500000</v>
      </c>
      <c r="E178">
        <v>-153400000</v>
      </c>
      <c r="F178">
        <v>180000000</v>
      </c>
      <c r="G178" t="s">
        <v>201</v>
      </c>
    </row>
    <row r="179" spans="1:7" hidden="1" x14ac:dyDescent="0.25">
      <c r="A179" t="s">
        <v>347</v>
      </c>
      <c r="B179" t="s">
        <v>76</v>
      </c>
      <c r="C179" t="s">
        <v>348</v>
      </c>
      <c r="D179">
        <v>85523998</v>
      </c>
      <c r="E179">
        <v>-74400000</v>
      </c>
      <c r="F179">
        <v>0</v>
      </c>
      <c r="G179" t="s">
        <v>201</v>
      </c>
    </row>
    <row r="180" spans="1:7" hidden="1" x14ac:dyDescent="0.25">
      <c r="A180" t="s">
        <v>349</v>
      </c>
      <c r="B180" t="s">
        <v>76</v>
      </c>
      <c r="C180" t="s">
        <v>348</v>
      </c>
      <c r="D180">
        <v>74500000</v>
      </c>
      <c r="E180">
        <v>-84500000</v>
      </c>
      <c r="F180">
        <v>0</v>
      </c>
      <c r="G180" t="s">
        <v>201</v>
      </c>
    </row>
    <row r="181" spans="1:7" hidden="1" x14ac:dyDescent="0.25">
      <c r="A181" t="s">
        <v>350</v>
      </c>
      <c r="B181" t="s">
        <v>76</v>
      </c>
      <c r="C181" t="s">
        <v>348</v>
      </c>
      <c r="D181">
        <v>74500000</v>
      </c>
      <c r="E181">
        <v>-128300000</v>
      </c>
      <c r="F181">
        <v>0</v>
      </c>
      <c r="G181" t="s">
        <v>201</v>
      </c>
    </row>
    <row r="182" spans="1:7" hidden="1" x14ac:dyDescent="0.25">
      <c r="A182" t="s">
        <v>351</v>
      </c>
      <c r="B182" t="s">
        <v>76</v>
      </c>
      <c r="C182" t="s">
        <v>348</v>
      </c>
      <c r="D182">
        <v>74500000</v>
      </c>
      <c r="E182">
        <v>-172100000</v>
      </c>
      <c r="F182">
        <v>0</v>
      </c>
      <c r="G182" t="s">
        <v>201</v>
      </c>
    </row>
    <row r="183" spans="1:7" hidden="1" x14ac:dyDescent="0.25">
      <c r="A183" t="s">
        <v>352</v>
      </c>
      <c r="B183" t="s">
        <v>96</v>
      </c>
      <c r="C183" t="s">
        <v>353</v>
      </c>
      <c r="D183">
        <v>74760000</v>
      </c>
      <c r="E183">
        <v>-76100000</v>
      </c>
      <c r="F183">
        <v>0</v>
      </c>
      <c r="G183" t="s">
        <v>201</v>
      </c>
    </row>
    <row r="184" spans="1:7" hidden="1" x14ac:dyDescent="0.25">
      <c r="A184" t="s">
        <v>354</v>
      </c>
      <c r="B184" t="s">
        <v>96</v>
      </c>
      <c r="C184" t="s">
        <v>353</v>
      </c>
      <c r="D184">
        <v>112160000</v>
      </c>
      <c r="E184">
        <v>-203600000</v>
      </c>
      <c r="F184">
        <v>0</v>
      </c>
      <c r="G184" t="s">
        <v>201</v>
      </c>
    </row>
    <row r="185" spans="1:7" hidden="1" x14ac:dyDescent="0.25">
      <c r="A185" t="s">
        <v>104</v>
      </c>
      <c r="B185" t="s">
        <v>105</v>
      </c>
      <c r="C185" t="s">
        <v>355</v>
      </c>
      <c r="D185">
        <v>151810000</v>
      </c>
      <c r="E185">
        <v>-203400000</v>
      </c>
      <c r="F185">
        <v>-90000000</v>
      </c>
      <c r="G185" t="s">
        <v>201</v>
      </c>
    </row>
    <row r="186" spans="1:7" hidden="1" x14ac:dyDescent="0.25">
      <c r="A186" t="s">
        <v>356</v>
      </c>
      <c r="B186" t="s">
        <v>102</v>
      </c>
      <c r="C186" t="s">
        <v>355</v>
      </c>
      <c r="D186">
        <v>141660000</v>
      </c>
      <c r="E186">
        <v>-203400000</v>
      </c>
      <c r="F186">
        <v>180000000</v>
      </c>
      <c r="G186" t="s">
        <v>201</v>
      </c>
    </row>
    <row r="187" spans="1:7" hidden="1" x14ac:dyDescent="0.25">
      <c r="A187" t="s">
        <v>357</v>
      </c>
      <c r="B187" t="s">
        <v>96</v>
      </c>
      <c r="C187" t="s">
        <v>358</v>
      </c>
      <c r="D187">
        <v>150650000</v>
      </c>
      <c r="E187">
        <v>-178325000</v>
      </c>
      <c r="F187">
        <v>180000000</v>
      </c>
      <c r="G187" t="s">
        <v>201</v>
      </c>
    </row>
    <row r="188" spans="1:7" hidden="1" x14ac:dyDescent="0.25">
      <c r="A188" t="s">
        <v>359</v>
      </c>
      <c r="B188" t="s">
        <v>96</v>
      </c>
      <c r="C188" t="s">
        <v>358</v>
      </c>
      <c r="D188">
        <v>150650000</v>
      </c>
      <c r="E188">
        <v>-185125000</v>
      </c>
      <c r="F188">
        <v>180000000</v>
      </c>
      <c r="G188" t="s">
        <v>201</v>
      </c>
    </row>
    <row r="189" spans="1:7" hidden="1" x14ac:dyDescent="0.25">
      <c r="A189" t="s">
        <v>360</v>
      </c>
      <c r="B189" t="s">
        <v>96</v>
      </c>
      <c r="C189" t="s">
        <v>358</v>
      </c>
      <c r="D189">
        <v>150650000</v>
      </c>
      <c r="E189">
        <v>-191925000</v>
      </c>
      <c r="F189">
        <v>180000000</v>
      </c>
      <c r="G189" t="s">
        <v>201</v>
      </c>
    </row>
    <row r="190" spans="1:7" hidden="1" x14ac:dyDescent="0.25">
      <c r="A190" t="s">
        <v>361</v>
      </c>
      <c r="B190" t="s">
        <v>96</v>
      </c>
      <c r="C190" t="s">
        <v>358</v>
      </c>
      <c r="D190">
        <v>150650000</v>
      </c>
      <c r="E190">
        <v>-198725000</v>
      </c>
      <c r="F190">
        <v>180000000</v>
      </c>
      <c r="G190" t="s">
        <v>201</v>
      </c>
    </row>
    <row r="191" spans="1:7" hidden="1" x14ac:dyDescent="0.25">
      <c r="A191" t="s">
        <v>362</v>
      </c>
      <c r="B191" t="s">
        <v>102</v>
      </c>
      <c r="C191" t="s">
        <v>355</v>
      </c>
      <c r="D191">
        <v>139120000</v>
      </c>
      <c r="E191">
        <v>-203400000</v>
      </c>
      <c r="F191">
        <v>180000000</v>
      </c>
      <c r="G191" t="s">
        <v>201</v>
      </c>
    </row>
    <row r="192" spans="1:7" hidden="1" x14ac:dyDescent="0.25">
      <c r="A192" t="s">
        <v>363</v>
      </c>
      <c r="B192" t="s">
        <v>99</v>
      </c>
      <c r="C192" t="s">
        <v>364</v>
      </c>
      <c r="D192">
        <v>134400000</v>
      </c>
      <c r="E192">
        <v>-185240000</v>
      </c>
      <c r="F192">
        <v>0</v>
      </c>
      <c r="G192" t="s">
        <v>201</v>
      </c>
    </row>
    <row r="193" spans="1:7" hidden="1" x14ac:dyDescent="0.25">
      <c r="A193" t="s">
        <v>365</v>
      </c>
      <c r="B193" t="s">
        <v>99</v>
      </c>
      <c r="C193" t="s">
        <v>364</v>
      </c>
      <c r="D193">
        <v>136940000</v>
      </c>
      <c r="E193">
        <v>-185240000</v>
      </c>
      <c r="F193">
        <v>0</v>
      </c>
      <c r="G193" t="s">
        <v>201</v>
      </c>
    </row>
    <row r="194" spans="1:7" hidden="1" x14ac:dyDescent="0.25">
      <c r="A194" t="s">
        <v>366</v>
      </c>
      <c r="B194" t="s">
        <v>99</v>
      </c>
      <c r="C194" t="s">
        <v>364</v>
      </c>
      <c r="D194">
        <v>139480000</v>
      </c>
      <c r="E194">
        <v>-185240000</v>
      </c>
      <c r="F194">
        <v>0</v>
      </c>
      <c r="G194" t="s">
        <v>201</v>
      </c>
    </row>
    <row r="195" spans="1:7" hidden="1" x14ac:dyDescent="0.25">
      <c r="A195" t="s">
        <v>367</v>
      </c>
      <c r="B195" t="s">
        <v>99</v>
      </c>
      <c r="C195" t="s">
        <v>364</v>
      </c>
      <c r="D195">
        <v>142020000</v>
      </c>
      <c r="E195">
        <v>-185240000</v>
      </c>
      <c r="F195">
        <v>0</v>
      </c>
      <c r="G195" t="s">
        <v>201</v>
      </c>
    </row>
    <row r="196" spans="1:7" hidden="1" x14ac:dyDescent="0.25">
      <c r="A196" t="s">
        <v>368</v>
      </c>
      <c r="B196" t="s">
        <v>102</v>
      </c>
      <c r="C196" t="s">
        <v>355</v>
      </c>
      <c r="D196">
        <v>134400000</v>
      </c>
      <c r="E196">
        <v>-182700000</v>
      </c>
      <c r="F196">
        <v>90000000</v>
      </c>
      <c r="G196" t="s">
        <v>201</v>
      </c>
    </row>
    <row r="197" spans="1:7" hidden="1" x14ac:dyDescent="0.25">
      <c r="A197" t="s">
        <v>369</v>
      </c>
      <c r="B197" t="s">
        <v>96</v>
      </c>
      <c r="C197" t="s">
        <v>353</v>
      </c>
      <c r="D197">
        <v>157400000</v>
      </c>
      <c r="E197">
        <v>-171640000</v>
      </c>
      <c r="F197">
        <v>90000000</v>
      </c>
      <c r="G197" t="s">
        <v>201</v>
      </c>
    </row>
    <row r="198" spans="1:7" hidden="1" x14ac:dyDescent="0.25">
      <c r="A198" t="s">
        <v>22</v>
      </c>
      <c r="B198" t="s">
        <v>23</v>
      </c>
      <c r="C198" t="s">
        <v>370</v>
      </c>
      <c r="D198">
        <v>125200000</v>
      </c>
      <c r="E198">
        <v>-192000000</v>
      </c>
      <c r="F198">
        <v>90000000</v>
      </c>
      <c r="G198" t="s">
        <v>201</v>
      </c>
    </row>
    <row r="199" spans="1:7" hidden="1" x14ac:dyDescent="0.25">
      <c r="A199" t="s">
        <v>371</v>
      </c>
      <c r="B199" t="s">
        <v>21</v>
      </c>
      <c r="C199" t="s">
        <v>370</v>
      </c>
      <c r="D199">
        <v>112000000</v>
      </c>
      <c r="E199">
        <v>-192000000</v>
      </c>
      <c r="F199">
        <v>90000000</v>
      </c>
      <c r="G199" t="s">
        <v>201</v>
      </c>
    </row>
    <row r="200" spans="1:7" hidden="1" x14ac:dyDescent="0.25">
      <c r="A200" t="s">
        <v>372</v>
      </c>
      <c r="B200" t="s">
        <v>21</v>
      </c>
      <c r="C200" t="s">
        <v>370</v>
      </c>
      <c r="D200">
        <v>128600000</v>
      </c>
      <c r="E200">
        <v>-84800000</v>
      </c>
      <c r="F200">
        <v>180000000</v>
      </c>
      <c r="G200" t="s">
        <v>201</v>
      </c>
    </row>
    <row r="201" spans="1:7" hidden="1" x14ac:dyDescent="0.25">
      <c r="A201" t="s">
        <v>373</v>
      </c>
      <c r="B201" t="s">
        <v>21</v>
      </c>
      <c r="C201" t="s">
        <v>370</v>
      </c>
      <c r="D201">
        <v>128596415</v>
      </c>
      <c r="E201">
        <v>-109500000</v>
      </c>
      <c r="F201">
        <v>180000000</v>
      </c>
      <c r="G201" t="s">
        <v>201</v>
      </c>
    </row>
    <row r="202" spans="1:7" hidden="1" x14ac:dyDescent="0.25">
      <c r="A202" t="s">
        <v>374</v>
      </c>
      <c r="B202" t="s">
        <v>21</v>
      </c>
      <c r="C202" t="s">
        <v>370</v>
      </c>
      <c r="D202">
        <v>128596415</v>
      </c>
      <c r="E202">
        <v>-134150000</v>
      </c>
      <c r="F202">
        <v>180000000</v>
      </c>
      <c r="G202" t="s">
        <v>201</v>
      </c>
    </row>
    <row r="203" spans="1:7" hidden="1" x14ac:dyDescent="0.25">
      <c r="A203" t="s">
        <v>16</v>
      </c>
      <c r="B203" t="s">
        <v>17</v>
      </c>
      <c r="C203" t="s">
        <v>370</v>
      </c>
      <c r="D203">
        <v>119900000</v>
      </c>
      <c r="E203">
        <v>-159000000</v>
      </c>
      <c r="F203">
        <v>180000000</v>
      </c>
      <c r="G203" t="s">
        <v>201</v>
      </c>
    </row>
    <row r="204" spans="1:7" hidden="1" x14ac:dyDescent="0.25">
      <c r="A204" t="s">
        <v>375</v>
      </c>
      <c r="B204" t="s">
        <v>136</v>
      </c>
      <c r="C204" t="s">
        <v>170</v>
      </c>
      <c r="D204">
        <v>76017216</v>
      </c>
      <c r="E204">
        <v>-116995000</v>
      </c>
      <c r="F204">
        <v>180000000</v>
      </c>
      <c r="G204" t="s">
        <v>201</v>
      </c>
    </row>
    <row r="205" spans="1:7" hidden="1" x14ac:dyDescent="0.25">
      <c r="A205" t="s">
        <v>376</v>
      </c>
      <c r="B205" t="s">
        <v>136</v>
      </c>
      <c r="C205" t="s">
        <v>170</v>
      </c>
      <c r="D205">
        <v>76033465</v>
      </c>
      <c r="E205">
        <v>-160795000</v>
      </c>
      <c r="F205">
        <v>180000000</v>
      </c>
      <c r="G205" t="s">
        <v>201</v>
      </c>
    </row>
    <row r="206" spans="1:7" hidden="1" x14ac:dyDescent="0.25">
      <c r="A206" t="s">
        <v>377</v>
      </c>
      <c r="B206" t="s">
        <v>136</v>
      </c>
      <c r="C206" t="s">
        <v>170</v>
      </c>
      <c r="D206">
        <v>76033465</v>
      </c>
      <c r="E206">
        <v>-204595000</v>
      </c>
      <c r="F206">
        <v>180000000</v>
      </c>
      <c r="G206" t="s">
        <v>201</v>
      </c>
    </row>
    <row r="207" spans="1:7" hidden="1" x14ac:dyDescent="0.25">
      <c r="A207" t="s">
        <v>378</v>
      </c>
      <c r="B207" t="s">
        <v>139</v>
      </c>
      <c r="C207" t="s">
        <v>379</v>
      </c>
      <c r="D207">
        <v>139600000</v>
      </c>
      <c r="E207">
        <v>-87000000</v>
      </c>
      <c r="F207">
        <v>-90000000</v>
      </c>
      <c r="G207" t="s">
        <v>201</v>
      </c>
    </row>
    <row r="208" spans="1:7" hidden="1" x14ac:dyDescent="0.25">
      <c r="A208" t="s">
        <v>380</v>
      </c>
      <c r="B208" t="s">
        <v>139</v>
      </c>
      <c r="C208" t="s">
        <v>379</v>
      </c>
      <c r="D208">
        <v>139600000</v>
      </c>
      <c r="E208">
        <v>-82600000</v>
      </c>
      <c r="F208">
        <v>-90000000</v>
      </c>
      <c r="G208" t="s">
        <v>201</v>
      </c>
    </row>
    <row r="209" spans="1:7" hidden="1" x14ac:dyDescent="0.25">
      <c r="A209" t="s">
        <v>381</v>
      </c>
      <c r="B209" t="s">
        <v>139</v>
      </c>
      <c r="C209" t="s">
        <v>379</v>
      </c>
      <c r="D209">
        <v>139596415</v>
      </c>
      <c r="E209">
        <v>-111700000</v>
      </c>
      <c r="F209">
        <v>-90000000</v>
      </c>
      <c r="G209" t="s">
        <v>201</v>
      </c>
    </row>
    <row r="210" spans="1:7" hidden="1" x14ac:dyDescent="0.25">
      <c r="A210" t="s">
        <v>382</v>
      </c>
      <c r="B210" t="s">
        <v>139</v>
      </c>
      <c r="C210" t="s">
        <v>379</v>
      </c>
      <c r="D210">
        <v>139596415</v>
      </c>
      <c r="E210">
        <v>-107300000</v>
      </c>
      <c r="F210">
        <v>-90000000</v>
      </c>
      <c r="G210" t="s">
        <v>201</v>
      </c>
    </row>
    <row r="211" spans="1:7" hidden="1" x14ac:dyDescent="0.25">
      <c r="A211" t="s">
        <v>383</v>
      </c>
      <c r="B211" t="s">
        <v>139</v>
      </c>
      <c r="C211" t="s">
        <v>379</v>
      </c>
      <c r="D211">
        <v>139596415</v>
      </c>
      <c r="E211">
        <v>-136350000</v>
      </c>
      <c r="F211">
        <v>-90000000</v>
      </c>
      <c r="G211" t="s">
        <v>201</v>
      </c>
    </row>
    <row r="212" spans="1:7" hidden="1" x14ac:dyDescent="0.25">
      <c r="A212" t="s">
        <v>384</v>
      </c>
      <c r="B212" t="s">
        <v>139</v>
      </c>
      <c r="C212" t="s">
        <v>379</v>
      </c>
      <c r="D212">
        <v>139596415</v>
      </c>
      <c r="E212">
        <v>-131950000</v>
      </c>
      <c r="F212">
        <v>-90000000</v>
      </c>
      <c r="G212" t="s">
        <v>201</v>
      </c>
    </row>
    <row r="213" spans="1:7" hidden="1" x14ac:dyDescent="0.25">
      <c r="A213" t="s">
        <v>385</v>
      </c>
      <c r="B213" t="s">
        <v>116</v>
      </c>
      <c r="C213" t="s">
        <v>172</v>
      </c>
      <c r="D213">
        <v>91224716</v>
      </c>
      <c r="E213">
        <v>-91450000</v>
      </c>
      <c r="F213">
        <v>180000000</v>
      </c>
      <c r="G213" t="s">
        <v>201</v>
      </c>
    </row>
    <row r="214" spans="1:7" hidden="1" x14ac:dyDescent="0.25">
      <c r="A214" t="s">
        <v>386</v>
      </c>
      <c r="B214" t="s">
        <v>139</v>
      </c>
      <c r="C214" t="s">
        <v>379</v>
      </c>
      <c r="D214">
        <v>91714716</v>
      </c>
      <c r="E214">
        <v>-87900000</v>
      </c>
      <c r="F214">
        <v>0</v>
      </c>
      <c r="G214" t="s">
        <v>201</v>
      </c>
    </row>
    <row r="215" spans="1:7" hidden="1" x14ac:dyDescent="0.25">
      <c r="A215" t="s">
        <v>387</v>
      </c>
      <c r="B215" t="s">
        <v>116</v>
      </c>
      <c r="C215" t="s">
        <v>172</v>
      </c>
      <c r="D215">
        <v>92219716</v>
      </c>
      <c r="E215">
        <v>-79880000</v>
      </c>
      <c r="F215">
        <v>0</v>
      </c>
      <c r="G215" t="s">
        <v>201</v>
      </c>
    </row>
    <row r="216" spans="1:7" hidden="1" x14ac:dyDescent="0.25">
      <c r="A216" t="s">
        <v>388</v>
      </c>
      <c r="B216" t="s">
        <v>139</v>
      </c>
      <c r="C216" t="s">
        <v>379</v>
      </c>
      <c r="D216">
        <v>91714716</v>
      </c>
      <c r="E216">
        <v>-83430000</v>
      </c>
      <c r="F216">
        <v>180000000</v>
      </c>
      <c r="G216" t="s">
        <v>201</v>
      </c>
    </row>
    <row r="217" spans="1:7" hidden="1" x14ac:dyDescent="0.25">
      <c r="A217" t="s">
        <v>389</v>
      </c>
      <c r="B217" t="s">
        <v>116</v>
      </c>
      <c r="C217" t="s">
        <v>172</v>
      </c>
      <c r="D217">
        <v>91240965</v>
      </c>
      <c r="E217">
        <v>-135250000</v>
      </c>
      <c r="F217">
        <v>180000000</v>
      </c>
      <c r="G217" t="s">
        <v>201</v>
      </c>
    </row>
    <row r="218" spans="1:7" hidden="1" x14ac:dyDescent="0.25">
      <c r="A218" t="s">
        <v>390</v>
      </c>
      <c r="B218" t="s">
        <v>139</v>
      </c>
      <c r="C218" t="s">
        <v>379</v>
      </c>
      <c r="D218">
        <v>91730965</v>
      </c>
      <c r="E218">
        <v>-131700000</v>
      </c>
      <c r="F218">
        <v>0</v>
      </c>
      <c r="G218" t="s">
        <v>201</v>
      </c>
    </row>
    <row r="219" spans="1:7" hidden="1" x14ac:dyDescent="0.25">
      <c r="A219" t="s">
        <v>391</v>
      </c>
      <c r="B219" t="s">
        <v>116</v>
      </c>
      <c r="C219" t="s">
        <v>172</v>
      </c>
      <c r="D219">
        <v>92219716</v>
      </c>
      <c r="E219">
        <v>-123680000</v>
      </c>
      <c r="F219">
        <v>0</v>
      </c>
      <c r="G219" t="s">
        <v>201</v>
      </c>
    </row>
    <row r="220" spans="1:7" hidden="1" x14ac:dyDescent="0.25">
      <c r="A220" t="s">
        <v>392</v>
      </c>
      <c r="B220" t="s">
        <v>139</v>
      </c>
      <c r="C220" t="s">
        <v>379</v>
      </c>
      <c r="D220">
        <v>91714716</v>
      </c>
      <c r="E220">
        <v>-127230000</v>
      </c>
      <c r="F220">
        <v>180000000</v>
      </c>
      <c r="G220" t="s">
        <v>201</v>
      </c>
    </row>
    <row r="221" spans="1:7" hidden="1" x14ac:dyDescent="0.25">
      <c r="A221" t="s">
        <v>393</v>
      </c>
      <c r="B221" t="s">
        <v>116</v>
      </c>
      <c r="C221" t="s">
        <v>172</v>
      </c>
      <c r="D221">
        <v>91240965</v>
      </c>
      <c r="E221">
        <v>-179050000</v>
      </c>
      <c r="F221">
        <v>180000000</v>
      </c>
      <c r="G221" t="s">
        <v>201</v>
      </c>
    </row>
    <row r="222" spans="1:7" hidden="1" x14ac:dyDescent="0.25">
      <c r="A222" t="s">
        <v>394</v>
      </c>
      <c r="B222" t="s">
        <v>139</v>
      </c>
      <c r="C222" t="s">
        <v>379</v>
      </c>
      <c r="D222">
        <v>91730965</v>
      </c>
      <c r="E222">
        <v>-175500000</v>
      </c>
      <c r="F222">
        <v>0</v>
      </c>
      <c r="G222" t="s">
        <v>201</v>
      </c>
    </row>
    <row r="223" spans="1:7" hidden="1" x14ac:dyDescent="0.25">
      <c r="A223" t="s">
        <v>395</v>
      </c>
      <c r="B223" t="s">
        <v>116</v>
      </c>
      <c r="C223" t="s">
        <v>172</v>
      </c>
      <c r="D223">
        <v>92219716</v>
      </c>
      <c r="E223">
        <v>-167480000</v>
      </c>
      <c r="F223">
        <v>0</v>
      </c>
      <c r="G223" t="s">
        <v>201</v>
      </c>
    </row>
    <row r="224" spans="1:7" hidden="1" x14ac:dyDescent="0.25">
      <c r="A224" t="s">
        <v>396</v>
      </c>
      <c r="B224" t="s">
        <v>139</v>
      </c>
      <c r="C224" t="s">
        <v>379</v>
      </c>
      <c r="D224">
        <v>91714716</v>
      </c>
      <c r="E224">
        <v>-171030000</v>
      </c>
      <c r="F224">
        <v>180000000</v>
      </c>
      <c r="G224" t="s">
        <v>201</v>
      </c>
    </row>
    <row r="225" spans="1:7" hidden="1" x14ac:dyDescent="0.25">
      <c r="A225" t="s">
        <v>397</v>
      </c>
      <c r="B225" t="s">
        <v>107</v>
      </c>
      <c r="C225" t="s">
        <v>398</v>
      </c>
      <c r="D225">
        <v>110000000</v>
      </c>
      <c r="E225">
        <v>-169200000</v>
      </c>
      <c r="F225">
        <v>-90000000</v>
      </c>
      <c r="G225" t="s">
        <v>201</v>
      </c>
    </row>
    <row r="226" spans="1:7" hidden="1" x14ac:dyDescent="0.25">
      <c r="A226" t="s">
        <v>399</v>
      </c>
      <c r="B226" t="s">
        <v>107</v>
      </c>
      <c r="C226" t="s">
        <v>398</v>
      </c>
      <c r="D226">
        <v>115700000</v>
      </c>
      <c r="E226">
        <v>-169200000</v>
      </c>
      <c r="F226">
        <v>90000000</v>
      </c>
      <c r="G226" t="s">
        <v>201</v>
      </c>
    </row>
    <row r="227" spans="1:7" hidden="1" x14ac:dyDescent="0.25">
      <c r="A227" t="s">
        <v>400</v>
      </c>
      <c r="B227" t="s">
        <v>107</v>
      </c>
      <c r="C227" t="s">
        <v>398</v>
      </c>
      <c r="D227">
        <v>129800000</v>
      </c>
      <c r="E227">
        <v>-169200000</v>
      </c>
      <c r="F227">
        <v>-90000000</v>
      </c>
      <c r="G227" t="s">
        <v>201</v>
      </c>
    </row>
    <row r="228" spans="1:7" hidden="1" x14ac:dyDescent="0.25">
      <c r="A228" t="s">
        <v>401</v>
      </c>
      <c r="B228" t="s">
        <v>107</v>
      </c>
      <c r="C228" t="s">
        <v>398</v>
      </c>
      <c r="D228">
        <v>124100000</v>
      </c>
      <c r="E228">
        <v>-169200000</v>
      </c>
      <c r="F228">
        <v>90000000</v>
      </c>
      <c r="G228" t="s">
        <v>201</v>
      </c>
    </row>
    <row r="229" spans="1:7" hidden="1" x14ac:dyDescent="0.25">
      <c r="A229" t="s">
        <v>402</v>
      </c>
      <c r="B229" t="s">
        <v>178</v>
      </c>
      <c r="C229" t="s">
        <v>179</v>
      </c>
      <c r="D229">
        <v>79000000</v>
      </c>
      <c r="E229">
        <v>-112175000</v>
      </c>
      <c r="F229">
        <v>-90000000</v>
      </c>
      <c r="G229" t="s">
        <v>201</v>
      </c>
    </row>
    <row r="230" spans="1:7" hidden="1" x14ac:dyDescent="0.25">
      <c r="A230" t="s">
        <v>403</v>
      </c>
      <c r="B230" t="s">
        <v>178</v>
      </c>
      <c r="C230" t="s">
        <v>179</v>
      </c>
      <c r="D230">
        <v>79000000</v>
      </c>
      <c r="E230">
        <v>-155975000</v>
      </c>
      <c r="F230">
        <v>-90000000</v>
      </c>
      <c r="G230" t="s">
        <v>201</v>
      </c>
    </row>
    <row r="231" spans="1:7" hidden="1" x14ac:dyDescent="0.25">
      <c r="A231" t="s">
        <v>404</v>
      </c>
      <c r="B231" t="s">
        <v>178</v>
      </c>
      <c r="C231" t="s">
        <v>179</v>
      </c>
      <c r="D231">
        <v>79000000</v>
      </c>
      <c r="E231">
        <v>-199775000</v>
      </c>
      <c r="F231">
        <v>-90000000</v>
      </c>
      <c r="G231" t="s">
        <v>201</v>
      </c>
    </row>
    <row r="232" spans="1:7" hidden="1" x14ac:dyDescent="0.25">
      <c r="A232" t="s">
        <v>405</v>
      </c>
      <c r="B232" t="s">
        <v>185</v>
      </c>
      <c r="C232" t="s">
        <v>179</v>
      </c>
      <c r="D232">
        <v>151900000</v>
      </c>
      <c r="E232">
        <v>-166700000</v>
      </c>
      <c r="F232">
        <v>180000000</v>
      </c>
      <c r="G232" t="s">
        <v>201</v>
      </c>
    </row>
    <row r="233" spans="1:7" hidden="1" x14ac:dyDescent="0.25">
      <c r="A233" t="s">
        <v>406</v>
      </c>
      <c r="B233" t="s">
        <v>185</v>
      </c>
      <c r="C233" t="s">
        <v>179</v>
      </c>
      <c r="D233">
        <v>125875000</v>
      </c>
      <c r="E233">
        <v>-119200000</v>
      </c>
      <c r="F233">
        <v>0</v>
      </c>
      <c r="G233" t="s">
        <v>201</v>
      </c>
    </row>
    <row r="234" spans="1:7" hidden="1" x14ac:dyDescent="0.25">
      <c r="A234" t="s">
        <v>407</v>
      </c>
      <c r="B234" t="s">
        <v>185</v>
      </c>
      <c r="C234" t="s">
        <v>179</v>
      </c>
      <c r="D234">
        <v>125875000</v>
      </c>
      <c r="E234">
        <v>-143850000</v>
      </c>
      <c r="F234">
        <v>0</v>
      </c>
      <c r="G234" t="s">
        <v>201</v>
      </c>
    </row>
    <row r="235" spans="1:7" hidden="1" x14ac:dyDescent="0.25">
      <c r="A235" t="s">
        <v>408</v>
      </c>
      <c r="B235" t="s">
        <v>409</v>
      </c>
      <c r="C235" t="s">
        <v>179</v>
      </c>
      <c r="D235">
        <v>152400000</v>
      </c>
      <c r="E235">
        <v>-79350000</v>
      </c>
      <c r="F235">
        <v>180000000</v>
      </c>
      <c r="G235" t="s">
        <v>201</v>
      </c>
    </row>
    <row r="236" spans="1:7" hidden="1" x14ac:dyDescent="0.25">
      <c r="A236" t="s">
        <v>410</v>
      </c>
      <c r="B236" t="s">
        <v>411</v>
      </c>
      <c r="C236" t="s">
        <v>179</v>
      </c>
      <c r="D236">
        <v>90200000</v>
      </c>
      <c r="E236">
        <v>-113100000</v>
      </c>
      <c r="F236">
        <v>180000000</v>
      </c>
      <c r="G236" t="s">
        <v>201</v>
      </c>
    </row>
    <row r="237" spans="1:7" hidden="1" x14ac:dyDescent="0.25">
      <c r="A237" t="s">
        <v>412</v>
      </c>
      <c r="B237" t="s">
        <v>411</v>
      </c>
      <c r="C237" t="s">
        <v>179</v>
      </c>
      <c r="D237">
        <v>90200000</v>
      </c>
      <c r="E237">
        <v>-115500000</v>
      </c>
      <c r="F237">
        <v>180000000</v>
      </c>
      <c r="G237" t="s">
        <v>201</v>
      </c>
    </row>
    <row r="238" spans="1:7" hidden="1" x14ac:dyDescent="0.25">
      <c r="A238" t="s">
        <v>413</v>
      </c>
      <c r="B238" t="s">
        <v>411</v>
      </c>
      <c r="C238" t="s">
        <v>179</v>
      </c>
      <c r="D238">
        <v>90200000</v>
      </c>
      <c r="E238">
        <v>-117900000</v>
      </c>
      <c r="F238">
        <v>180000000</v>
      </c>
      <c r="G238" t="s">
        <v>201</v>
      </c>
    </row>
    <row r="239" spans="1:7" hidden="1" x14ac:dyDescent="0.25">
      <c r="A239" t="s">
        <v>414</v>
      </c>
      <c r="B239" t="s">
        <v>415</v>
      </c>
      <c r="C239" t="s">
        <v>179</v>
      </c>
      <c r="D239">
        <v>128500000</v>
      </c>
      <c r="E239">
        <v>-96000000</v>
      </c>
      <c r="F239">
        <v>-90000000</v>
      </c>
      <c r="G239" t="s">
        <v>201</v>
      </c>
    </row>
    <row r="240" spans="1:7" hidden="1" x14ac:dyDescent="0.25">
      <c r="A240" t="s">
        <v>416</v>
      </c>
      <c r="B240" t="s">
        <v>415</v>
      </c>
      <c r="C240" t="s">
        <v>179</v>
      </c>
      <c r="D240">
        <v>130000000</v>
      </c>
      <c r="E240">
        <v>-96000000</v>
      </c>
      <c r="F240">
        <v>90000000</v>
      </c>
      <c r="G240" t="s">
        <v>201</v>
      </c>
    </row>
    <row r="241" spans="1:7" hidden="1" x14ac:dyDescent="0.25">
      <c r="A241" t="s">
        <v>417</v>
      </c>
      <c r="B241" t="s">
        <v>418</v>
      </c>
      <c r="C241" t="s">
        <v>179</v>
      </c>
      <c r="D241">
        <v>114100000</v>
      </c>
      <c r="E241">
        <v>-92900000</v>
      </c>
      <c r="F241">
        <v>-90000000</v>
      </c>
      <c r="G241" t="s">
        <v>201</v>
      </c>
    </row>
    <row r="242" spans="1:7" hidden="1" x14ac:dyDescent="0.25">
      <c r="A242" t="s">
        <v>419</v>
      </c>
      <c r="B242" t="s">
        <v>415</v>
      </c>
      <c r="C242" t="s">
        <v>179</v>
      </c>
      <c r="D242">
        <v>110100000</v>
      </c>
      <c r="E242">
        <v>-92900000</v>
      </c>
      <c r="F242">
        <v>-90000000</v>
      </c>
      <c r="G242" t="s">
        <v>201</v>
      </c>
    </row>
    <row r="243" spans="1:7" hidden="1" x14ac:dyDescent="0.25">
      <c r="A243" t="s">
        <v>420</v>
      </c>
      <c r="B243" t="s">
        <v>421</v>
      </c>
      <c r="C243" t="s">
        <v>179</v>
      </c>
      <c r="D243">
        <v>116100000</v>
      </c>
      <c r="E243">
        <v>-92900000</v>
      </c>
      <c r="F243">
        <v>90000000</v>
      </c>
      <c r="G243" t="s">
        <v>201</v>
      </c>
    </row>
    <row r="244" spans="1:7" hidden="1" x14ac:dyDescent="0.25">
      <c r="A244" t="s">
        <v>422</v>
      </c>
      <c r="B244" t="s">
        <v>423</v>
      </c>
      <c r="C244" t="s">
        <v>179</v>
      </c>
      <c r="D244">
        <v>148700000</v>
      </c>
      <c r="E244">
        <v>-92500000</v>
      </c>
      <c r="F244">
        <v>-90000000</v>
      </c>
      <c r="G244" t="s">
        <v>201</v>
      </c>
    </row>
    <row r="245" spans="1:7" hidden="1" x14ac:dyDescent="0.25">
      <c r="A245" t="s">
        <v>424</v>
      </c>
      <c r="B245" t="s">
        <v>425</v>
      </c>
      <c r="C245" t="s">
        <v>179</v>
      </c>
      <c r="D245">
        <v>150300000</v>
      </c>
      <c r="E245">
        <v>-92500000</v>
      </c>
      <c r="F245">
        <v>90000000</v>
      </c>
      <c r="G245" t="s">
        <v>201</v>
      </c>
    </row>
    <row r="246" spans="1:7" hidden="1" x14ac:dyDescent="0.25">
      <c r="A246" t="s">
        <v>426</v>
      </c>
      <c r="B246" t="s">
        <v>427</v>
      </c>
      <c r="C246" t="s">
        <v>179</v>
      </c>
      <c r="D246">
        <v>146300000</v>
      </c>
      <c r="E246">
        <v>-92500000</v>
      </c>
      <c r="F246">
        <v>-90000000</v>
      </c>
      <c r="G246" t="s">
        <v>201</v>
      </c>
    </row>
    <row r="247" spans="1:7" hidden="1" x14ac:dyDescent="0.25">
      <c r="A247" t="s">
        <v>428</v>
      </c>
      <c r="B247" t="s">
        <v>429</v>
      </c>
      <c r="C247" t="s">
        <v>179</v>
      </c>
      <c r="D247">
        <v>144700000</v>
      </c>
      <c r="E247">
        <v>-92500000</v>
      </c>
      <c r="F247">
        <v>90000000</v>
      </c>
      <c r="G247" t="s">
        <v>201</v>
      </c>
    </row>
    <row r="248" spans="1:7" hidden="1" x14ac:dyDescent="0.25">
      <c r="A248" t="s">
        <v>430</v>
      </c>
      <c r="B248" t="s">
        <v>431</v>
      </c>
      <c r="C248" t="s">
        <v>432</v>
      </c>
      <c r="D248">
        <v>118585000</v>
      </c>
      <c r="E248">
        <v>-84800000</v>
      </c>
      <c r="F248">
        <v>180000000</v>
      </c>
      <c r="G248" t="s">
        <v>201</v>
      </c>
    </row>
    <row r="249" spans="1:7" hidden="1" x14ac:dyDescent="0.25">
      <c r="A249" t="s">
        <v>433</v>
      </c>
      <c r="B249" t="s">
        <v>434</v>
      </c>
      <c r="C249" t="s">
        <v>179</v>
      </c>
      <c r="D249">
        <v>146300000</v>
      </c>
      <c r="E249">
        <v>-100900000</v>
      </c>
      <c r="F249">
        <v>90000000</v>
      </c>
      <c r="G249" t="s">
        <v>201</v>
      </c>
    </row>
    <row r="250" spans="1:7" hidden="1" x14ac:dyDescent="0.25">
      <c r="A250" t="s">
        <v>435</v>
      </c>
      <c r="B250" t="s">
        <v>436</v>
      </c>
      <c r="C250" t="s">
        <v>179</v>
      </c>
      <c r="D250">
        <v>144700000</v>
      </c>
      <c r="E250">
        <v>-100900000</v>
      </c>
      <c r="F250">
        <v>-90000000</v>
      </c>
      <c r="G250" t="s">
        <v>201</v>
      </c>
    </row>
    <row r="251" spans="1:7" hidden="1" x14ac:dyDescent="0.25">
      <c r="A251" t="s">
        <v>437</v>
      </c>
      <c r="B251" t="s">
        <v>438</v>
      </c>
      <c r="C251" t="s">
        <v>179</v>
      </c>
      <c r="D251">
        <v>148700000</v>
      </c>
      <c r="E251">
        <v>-100900000</v>
      </c>
      <c r="F251">
        <v>90000000</v>
      </c>
      <c r="G251" t="s">
        <v>201</v>
      </c>
    </row>
    <row r="252" spans="1:7" hidden="1" x14ac:dyDescent="0.25">
      <c r="A252" t="s">
        <v>439</v>
      </c>
      <c r="B252" t="s">
        <v>440</v>
      </c>
      <c r="C252" t="s">
        <v>179</v>
      </c>
      <c r="D252">
        <v>150300000</v>
      </c>
      <c r="E252">
        <v>-100900000</v>
      </c>
      <c r="F252">
        <v>-90000000</v>
      </c>
      <c r="G252" t="s">
        <v>201</v>
      </c>
    </row>
    <row r="253" spans="1:7" hidden="1" x14ac:dyDescent="0.25">
      <c r="A253" t="s">
        <v>441</v>
      </c>
      <c r="B253" t="s">
        <v>409</v>
      </c>
      <c r="C253" t="s">
        <v>179</v>
      </c>
      <c r="D253">
        <v>152396415</v>
      </c>
      <c r="E253">
        <v>-104050000</v>
      </c>
      <c r="F253">
        <v>180000000</v>
      </c>
      <c r="G253" t="s">
        <v>201</v>
      </c>
    </row>
    <row r="254" spans="1:7" hidden="1" x14ac:dyDescent="0.25">
      <c r="A254" t="s">
        <v>442</v>
      </c>
      <c r="B254" t="s">
        <v>411</v>
      </c>
      <c r="C254" t="s">
        <v>179</v>
      </c>
      <c r="D254">
        <v>90196415</v>
      </c>
      <c r="E254">
        <v>-156900000</v>
      </c>
      <c r="F254">
        <v>180000000</v>
      </c>
      <c r="G254" t="s">
        <v>201</v>
      </c>
    </row>
    <row r="255" spans="1:7" hidden="1" x14ac:dyDescent="0.25">
      <c r="A255" t="s">
        <v>443</v>
      </c>
      <c r="B255" t="s">
        <v>411</v>
      </c>
      <c r="C255" t="s">
        <v>179</v>
      </c>
      <c r="D255">
        <v>90196415</v>
      </c>
      <c r="E255">
        <v>-159300000</v>
      </c>
      <c r="F255">
        <v>180000000</v>
      </c>
      <c r="G255" t="s">
        <v>201</v>
      </c>
    </row>
    <row r="256" spans="1:7" hidden="1" x14ac:dyDescent="0.25">
      <c r="A256" t="s">
        <v>444</v>
      </c>
      <c r="B256" t="s">
        <v>411</v>
      </c>
      <c r="C256" t="s">
        <v>179</v>
      </c>
      <c r="D256">
        <v>90196415</v>
      </c>
      <c r="E256">
        <v>-161700000</v>
      </c>
      <c r="F256">
        <v>180000000</v>
      </c>
      <c r="G256" t="s">
        <v>201</v>
      </c>
    </row>
    <row r="257" spans="1:7" hidden="1" x14ac:dyDescent="0.25">
      <c r="A257" t="s">
        <v>445</v>
      </c>
      <c r="B257" t="s">
        <v>415</v>
      </c>
      <c r="C257" t="s">
        <v>179</v>
      </c>
      <c r="D257">
        <v>128496415</v>
      </c>
      <c r="E257">
        <v>-120700000</v>
      </c>
      <c r="F257">
        <v>-90000000</v>
      </c>
      <c r="G257" t="s">
        <v>201</v>
      </c>
    </row>
    <row r="258" spans="1:7" hidden="1" x14ac:dyDescent="0.25">
      <c r="A258" t="s">
        <v>446</v>
      </c>
      <c r="B258" t="s">
        <v>415</v>
      </c>
      <c r="C258" t="s">
        <v>179</v>
      </c>
      <c r="D258">
        <v>129996415</v>
      </c>
      <c r="E258">
        <v>-120700000</v>
      </c>
      <c r="F258">
        <v>90000000</v>
      </c>
      <c r="G258" t="s">
        <v>201</v>
      </c>
    </row>
    <row r="259" spans="1:7" hidden="1" x14ac:dyDescent="0.25">
      <c r="A259" t="s">
        <v>447</v>
      </c>
      <c r="B259" t="s">
        <v>418</v>
      </c>
      <c r="C259" t="s">
        <v>179</v>
      </c>
      <c r="D259">
        <v>114096415</v>
      </c>
      <c r="E259">
        <v>-117600000</v>
      </c>
      <c r="F259">
        <v>-90000000</v>
      </c>
      <c r="G259" t="s">
        <v>201</v>
      </c>
    </row>
    <row r="260" spans="1:7" hidden="1" x14ac:dyDescent="0.25">
      <c r="A260" t="s">
        <v>448</v>
      </c>
      <c r="B260" t="s">
        <v>415</v>
      </c>
      <c r="C260" t="s">
        <v>179</v>
      </c>
      <c r="D260">
        <v>110096415</v>
      </c>
      <c r="E260">
        <v>-117600000</v>
      </c>
      <c r="F260">
        <v>-90000000</v>
      </c>
      <c r="G260" t="s">
        <v>201</v>
      </c>
    </row>
    <row r="261" spans="1:7" hidden="1" x14ac:dyDescent="0.25">
      <c r="A261" t="s">
        <v>449</v>
      </c>
      <c r="B261" t="s">
        <v>421</v>
      </c>
      <c r="C261" t="s">
        <v>179</v>
      </c>
      <c r="D261">
        <v>116096415</v>
      </c>
      <c r="E261">
        <v>-117600000</v>
      </c>
      <c r="F261">
        <v>90000000</v>
      </c>
      <c r="G261" t="s">
        <v>201</v>
      </c>
    </row>
    <row r="262" spans="1:7" hidden="1" x14ac:dyDescent="0.25">
      <c r="A262" t="s">
        <v>450</v>
      </c>
      <c r="B262" t="s">
        <v>423</v>
      </c>
      <c r="C262" t="s">
        <v>179</v>
      </c>
      <c r="D262">
        <v>148696415</v>
      </c>
      <c r="E262">
        <v>-117200000</v>
      </c>
      <c r="F262">
        <v>-90000000</v>
      </c>
      <c r="G262" t="s">
        <v>201</v>
      </c>
    </row>
    <row r="263" spans="1:7" hidden="1" x14ac:dyDescent="0.25">
      <c r="A263" t="s">
        <v>451</v>
      </c>
      <c r="B263" t="s">
        <v>425</v>
      </c>
      <c r="C263" t="s">
        <v>179</v>
      </c>
      <c r="D263">
        <v>150296415</v>
      </c>
      <c r="E263">
        <v>-117200000</v>
      </c>
      <c r="F263">
        <v>90000000</v>
      </c>
      <c r="G263" t="s">
        <v>201</v>
      </c>
    </row>
    <row r="264" spans="1:7" hidden="1" x14ac:dyDescent="0.25">
      <c r="A264" t="s">
        <v>452</v>
      </c>
      <c r="B264" t="s">
        <v>427</v>
      </c>
      <c r="C264" t="s">
        <v>179</v>
      </c>
      <c r="D264">
        <v>146296415</v>
      </c>
      <c r="E264">
        <v>-117200000</v>
      </c>
      <c r="F264">
        <v>-90000000</v>
      </c>
      <c r="G264" t="s">
        <v>201</v>
      </c>
    </row>
    <row r="265" spans="1:7" hidden="1" x14ac:dyDescent="0.25">
      <c r="A265" t="s">
        <v>453</v>
      </c>
      <c r="B265" t="s">
        <v>429</v>
      </c>
      <c r="C265" t="s">
        <v>179</v>
      </c>
      <c r="D265">
        <v>144696415</v>
      </c>
      <c r="E265">
        <v>-117200000</v>
      </c>
      <c r="F265">
        <v>90000000</v>
      </c>
      <c r="G265" t="s">
        <v>201</v>
      </c>
    </row>
    <row r="266" spans="1:7" hidden="1" x14ac:dyDescent="0.25">
      <c r="A266" t="s">
        <v>454</v>
      </c>
      <c r="B266" t="s">
        <v>431</v>
      </c>
      <c r="C266" t="s">
        <v>432</v>
      </c>
      <c r="D266">
        <v>118581415</v>
      </c>
      <c r="E266">
        <v>-109500000</v>
      </c>
      <c r="F266">
        <v>180000000</v>
      </c>
      <c r="G266" t="s">
        <v>201</v>
      </c>
    </row>
    <row r="267" spans="1:7" hidden="1" x14ac:dyDescent="0.25">
      <c r="A267" t="s">
        <v>455</v>
      </c>
      <c r="B267" t="s">
        <v>434</v>
      </c>
      <c r="C267" t="s">
        <v>179</v>
      </c>
      <c r="D267">
        <v>146296415</v>
      </c>
      <c r="E267">
        <v>-125600000</v>
      </c>
      <c r="F267">
        <v>90000000</v>
      </c>
      <c r="G267" t="s">
        <v>201</v>
      </c>
    </row>
    <row r="268" spans="1:7" hidden="1" x14ac:dyDescent="0.25">
      <c r="A268" t="s">
        <v>456</v>
      </c>
      <c r="B268" t="s">
        <v>436</v>
      </c>
      <c r="C268" t="s">
        <v>179</v>
      </c>
      <c r="D268">
        <v>144696415</v>
      </c>
      <c r="E268">
        <v>-125600000</v>
      </c>
      <c r="F268">
        <v>-90000000</v>
      </c>
      <c r="G268" t="s">
        <v>201</v>
      </c>
    </row>
    <row r="269" spans="1:7" hidden="1" x14ac:dyDescent="0.25">
      <c r="A269" t="s">
        <v>457</v>
      </c>
      <c r="B269" t="s">
        <v>438</v>
      </c>
      <c r="C269" t="s">
        <v>179</v>
      </c>
      <c r="D269">
        <v>148696415</v>
      </c>
      <c r="E269">
        <v>-125600000</v>
      </c>
      <c r="F269">
        <v>90000000</v>
      </c>
      <c r="G269" t="s">
        <v>201</v>
      </c>
    </row>
    <row r="270" spans="1:7" hidden="1" x14ac:dyDescent="0.25">
      <c r="A270" t="s">
        <v>458</v>
      </c>
      <c r="B270" t="s">
        <v>440</v>
      </c>
      <c r="C270" t="s">
        <v>179</v>
      </c>
      <c r="D270">
        <v>150296415</v>
      </c>
      <c r="E270">
        <v>-125600000</v>
      </c>
      <c r="F270">
        <v>-90000000</v>
      </c>
      <c r="G270" t="s">
        <v>201</v>
      </c>
    </row>
    <row r="271" spans="1:7" hidden="1" x14ac:dyDescent="0.25">
      <c r="A271" t="s">
        <v>459</v>
      </c>
      <c r="B271" t="s">
        <v>409</v>
      </c>
      <c r="C271" t="s">
        <v>179</v>
      </c>
      <c r="D271">
        <v>152396415</v>
      </c>
      <c r="E271">
        <v>-128700000</v>
      </c>
      <c r="F271">
        <v>180000000</v>
      </c>
      <c r="G271" t="s">
        <v>201</v>
      </c>
    </row>
    <row r="272" spans="1:7" hidden="1" x14ac:dyDescent="0.25">
      <c r="A272" t="s">
        <v>460</v>
      </c>
      <c r="B272" t="s">
        <v>411</v>
      </c>
      <c r="C272" t="s">
        <v>179</v>
      </c>
      <c r="D272">
        <v>90196415</v>
      </c>
      <c r="E272">
        <v>-200700000</v>
      </c>
      <c r="F272">
        <v>180000000</v>
      </c>
      <c r="G272" t="s">
        <v>201</v>
      </c>
    </row>
    <row r="273" spans="1:7" hidden="1" x14ac:dyDescent="0.25">
      <c r="A273" t="s">
        <v>461</v>
      </c>
      <c r="B273" t="s">
        <v>411</v>
      </c>
      <c r="C273" t="s">
        <v>179</v>
      </c>
      <c r="D273">
        <v>90196415</v>
      </c>
      <c r="E273">
        <v>-203100000</v>
      </c>
      <c r="F273">
        <v>180000000</v>
      </c>
      <c r="G273" t="s">
        <v>201</v>
      </c>
    </row>
    <row r="274" spans="1:7" hidden="1" x14ac:dyDescent="0.25">
      <c r="A274" t="s">
        <v>462</v>
      </c>
      <c r="B274" t="s">
        <v>411</v>
      </c>
      <c r="C274" t="s">
        <v>179</v>
      </c>
      <c r="D274">
        <v>90196415</v>
      </c>
      <c r="E274">
        <v>-205500000</v>
      </c>
      <c r="F274">
        <v>180000000</v>
      </c>
      <c r="G274" t="s">
        <v>201</v>
      </c>
    </row>
    <row r="275" spans="1:7" hidden="1" x14ac:dyDescent="0.25">
      <c r="A275" t="s">
        <v>463</v>
      </c>
      <c r="B275" t="s">
        <v>415</v>
      </c>
      <c r="C275" t="s">
        <v>179</v>
      </c>
      <c r="D275">
        <v>128496415</v>
      </c>
      <c r="E275">
        <v>-145350000</v>
      </c>
      <c r="F275">
        <v>-90000000</v>
      </c>
      <c r="G275" t="s">
        <v>201</v>
      </c>
    </row>
    <row r="276" spans="1:7" hidden="1" x14ac:dyDescent="0.25">
      <c r="A276" t="s">
        <v>464</v>
      </c>
      <c r="B276" t="s">
        <v>415</v>
      </c>
      <c r="C276" t="s">
        <v>179</v>
      </c>
      <c r="D276">
        <v>129996415</v>
      </c>
      <c r="E276">
        <v>-145350000</v>
      </c>
      <c r="F276">
        <v>90000000</v>
      </c>
      <c r="G276" t="s">
        <v>201</v>
      </c>
    </row>
    <row r="277" spans="1:7" hidden="1" x14ac:dyDescent="0.25">
      <c r="A277" t="s">
        <v>465</v>
      </c>
      <c r="B277" t="s">
        <v>418</v>
      </c>
      <c r="C277" t="s">
        <v>179</v>
      </c>
      <c r="D277">
        <v>114096415</v>
      </c>
      <c r="E277">
        <v>-142250000</v>
      </c>
      <c r="F277">
        <v>-90000000</v>
      </c>
      <c r="G277" t="s">
        <v>201</v>
      </c>
    </row>
    <row r="278" spans="1:7" hidden="1" x14ac:dyDescent="0.25">
      <c r="A278" t="s">
        <v>466</v>
      </c>
      <c r="B278" t="s">
        <v>415</v>
      </c>
      <c r="C278" t="s">
        <v>179</v>
      </c>
      <c r="D278">
        <v>110096415</v>
      </c>
      <c r="E278">
        <v>-142250000</v>
      </c>
      <c r="F278">
        <v>-90000000</v>
      </c>
      <c r="G278" t="s">
        <v>201</v>
      </c>
    </row>
    <row r="279" spans="1:7" hidden="1" x14ac:dyDescent="0.25">
      <c r="A279" t="s">
        <v>467</v>
      </c>
      <c r="B279" t="s">
        <v>421</v>
      </c>
      <c r="C279" t="s">
        <v>179</v>
      </c>
      <c r="D279">
        <v>116096415</v>
      </c>
      <c r="E279">
        <v>-142250000</v>
      </c>
      <c r="F279">
        <v>90000000</v>
      </c>
      <c r="G279" t="s">
        <v>201</v>
      </c>
    </row>
    <row r="280" spans="1:7" hidden="1" x14ac:dyDescent="0.25">
      <c r="A280" t="s">
        <v>468</v>
      </c>
      <c r="B280" t="s">
        <v>423</v>
      </c>
      <c r="C280" t="s">
        <v>179</v>
      </c>
      <c r="D280">
        <v>148696415</v>
      </c>
      <c r="E280">
        <v>-141850000</v>
      </c>
      <c r="F280">
        <v>-90000000</v>
      </c>
      <c r="G280" t="s">
        <v>201</v>
      </c>
    </row>
    <row r="281" spans="1:7" hidden="1" x14ac:dyDescent="0.25">
      <c r="A281" t="s">
        <v>469</v>
      </c>
      <c r="B281" t="s">
        <v>425</v>
      </c>
      <c r="C281" t="s">
        <v>179</v>
      </c>
      <c r="D281">
        <v>150296415</v>
      </c>
      <c r="E281">
        <v>-141850000</v>
      </c>
      <c r="F281">
        <v>90000000</v>
      </c>
      <c r="G281" t="s">
        <v>201</v>
      </c>
    </row>
    <row r="282" spans="1:7" hidden="1" x14ac:dyDescent="0.25">
      <c r="A282" t="s">
        <v>470</v>
      </c>
      <c r="B282" t="s">
        <v>427</v>
      </c>
      <c r="C282" t="s">
        <v>179</v>
      </c>
      <c r="D282">
        <v>146296415</v>
      </c>
      <c r="E282">
        <v>-141850000</v>
      </c>
      <c r="F282">
        <v>-90000000</v>
      </c>
      <c r="G282" t="s">
        <v>201</v>
      </c>
    </row>
    <row r="283" spans="1:7" hidden="1" x14ac:dyDescent="0.25">
      <c r="A283" t="s">
        <v>471</v>
      </c>
      <c r="B283" t="s">
        <v>429</v>
      </c>
      <c r="C283" t="s">
        <v>179</v>
      </c>
      <c r="D283">
        <v>144696415</v>
      </c>
      <c r="E283">
        <v>-141850000</v>
      </c>
      <c r="F283">
        <v>90000000</v>
      </c>
      <c r="G283" t="s">
        <v>201</v>
      </c>
    </row>
    <row r="284" spans="1:7" hidden="1" x14ac:dyDescent="0.25">
      <c r="A284" t="s">
        <v>472</v>
      </c>
      <c r="B284" t="s">
        <v>431</v>
      </c>
      <c r="C284" t="s">
        <v>432</v>
      </c>
      <c r="D284">
        <v>118581415</v>
      </c>
      <c r="E284">
        <v>-134150000</v>
      </c>
      <c r="F284">
        <v>180000000</v>
      </c>
      <c r="G284" t="s">
        <v>201</v>
      </c>
    </row>
    <row r="285" spans="1:7" hidden="1" x14ac:dyDescent="0.25">
      <c r="A285" t="s">
        <v>473</v>
      </c>
      <c r="B285" t="s">
        <v>434</v>
      </c>
      <c r="C285" t="s">
        <v>179</v>
      </c>
      <c r="D285">
        <v>146296415</v>
      </c>
      <c r="E285">
        <v>-150250000</v>
      </c>
      <c r="F285">
        <v>90000000</v>
      </c>
      <c r="G285" t="s">
        <v>201</v>
      </c>
    </row>
    <row r="286" spans="1:7" hidden="1" x14ac:dyDescent="0.25">
      <c r="A286" t="s">
        <v>474</v>
      </c>
      <c r="B286" t="s">
        <v>436</v>
      </c>
      <c r="C286" t="s">
        <v>179</v>
      </c>
      <c r="D286">
        <v>144696415</v>
      </c>
      <c r="E286">
        <v>-150250000</v>
      </c>
      <c r="F286">
        <v>-90000000</v>
      </c>
      <c r="G286" t="s">
        <v>201</v>
      </c>
    </row>
    <row r="287" spans="1:7" hidden="1" x14ac:dyDescent="0.25">
      <c r="A287" t="s">
        <v>475</v>
      </c>
      <c r="B287" t="s">
        <v>438</v>
      </c>
      <c r="C287" t="s">
        <v>179</v>
      </c>
      <c r="D287">
        <v>148696415</v>
      </c>
      <c r="E287">
        <v>-150250000</v>
      </c>
      <c r="F287">
        <v>90000000</v>
      </c>
      <c r="G287" t="s">
        <v>201</v>
      </c>
    </row>
    <row r="288" spans="1:7" hidden="1" x14ac:dyDescent="0.25">
      <c r="A288" t="s">
        <v>476</v>
      </c>
      <c r="B288" t="s">
        <v>440</v>
      </c>
      <c r="C288" t="s">
        <v>179</v>
      </c>
      <c r="D288">
        <v>150296415</v>
      </c>
      <c r="E288">
        <v>-150250000</v>
      </c>
      <c r="F288">
        <v>-90000000</v>
      </c>
      <c r="G288" t="s">
        <v>201</v>
      </c>
    </row>
    <row r="289" spans="1:7" hidden="1" x14ac:dyDescent="0.25">
      <c r="A289" t="s">
        <v>477</v>
      </c>
      <c r="B289" t="s">
        <v>478</v>
      </c>
      <c r="C289" t="s">
        <v>179</v>
      </c>
      <c r="D289">
        <v>73112216</v>
      </c>
      <c r="E289">
        <v>-94500000</v>
      </c>
      <c r="F289">
        <v>0</v>
      </c>
      <c r="G289" t="s">
        <v>201</v>
      </c>
    </row>
    <row r="290" spans="1:7" hidden="1" x14ac:dyDescent="0.25">
      <c r="A290" t="s">
        <v>479</v>
      </c>
      <c r="B290" t="s">
        <v>478</v>
      </c>
      <c r="C290" t="s">
        <v>179</v>
      </c>
      <c r="D290">
        <v>73112216</v>
      </c>
      <c r="E290">
        <v>-97000000</v>
      </c>
      <c r="F290">
        <v>0</v>
      </c>
      <c r="G290" t="s">
        <v>201</v>
      </c>
    </row>
    <row r="291" spans="1:7" hidden="1" x14ac:dyDescent="0.25">
      <c r="A291" t="s">
        <v>480</v>
      </c>
      <c r="B291" t="s">
        <v>478</v>
      </c>
      <c r="C291" t="s">
        <v>179</v>
      </c>
      <c r="D291">
        <v>73112216</v>
      </c>
      <c r="E291">
        <v>-99500000</v>
      </c>
      <c r="F291">
        <v>0</v>
      </c>
      <c r="G291" t="s">
        <v>201</v>
      </c>
    </row>
    <row r="292" spans="1:7" hidden="1" x14ac:dyDescent="0.25">
      <c r="A292" t="s">
        <v>481</v>
      </c>
      <c r="B292" t="s">
        <v>478</v>
      </c>
      <c r="C292" t="s">
        <v>179</v>
      </c>
      <c r="D292">
        <v>73112216</v>
      </c>
      <c r="E292">
        <v>-102000000</v>
      </c>
      <c r="F292">
        <v>0</v>
      </c>
      <c r="G292" t="s">
        <v>201</v>
      </c>
    </row>
    <row r="293" spans="1:7" hidden="1" x14ac:dyDescent="0.25">
      <c r="A293" t="s">
        <v>482</v>
      </c>
      <c r="B293" t="s">
        <v>478</v>
      </c>
      <c r="C293" t="s">
        <v>179</v>
      </c>
      <c r="D293">
        <v>73087216</v>
      </c>
      <c r="E293">
        <v>-104500000</v>
      </c>
      <c r="F293">
        <v>0</v>
      </c>
      <c r="G293" t="s">
        <v>201</v>
      </c>
    </row>
    <row r="294" spans="1:7" hidden="1" x14ac:dyDescent="0.25">
      <c r="A294" t="s">
        <v>483</v>
      </c>
      <c r="B294" t="s">
        <v>484</v>
      </c>
      <c r="C294" t="s">
        <v>179</v>
      </c>
      <c r="D294">
        <v>81587216</v>
      </c>
      <c r="E294">
        <v>-108100000</v>
      </c>
      <c r="F294">
        <v>-90000000</v>
      </c>
      <c r="G294" t="s">
        <v>201</v>
      </c>
    </row>
    <row r="295" spans="1:7" hidden="1" x14ac:dyDescent="0.25">
      <c r="A295" t="s">
        <v>485</v>
      </c>
      <c r="B295" t="s">
        <v>486</v>
      </c>
      <c r="C295" t="s">
        <v>432</v>
      </c>
      <c r="D295">
        <v>84287216</v>
      </c>
      <c r="E295">
        <v>-118400000</v>
      </c>
      <c r="F295">
        <v>180000000</v>
      </c>
      <c r="G295" t="s">
        <v>201</v>
      </c>
    </row>
    <row r="296" spans="1:7" hidden="1" x14ac:dyDescent="0.25">
      <c r="A296" t="s">
        <v>487</v>
      </c>
      <c r="B296" t="s">
        <v>484</v>
      </c>
      <c r="C296" t="s">
        <v>179</v>
      </c>
      <c r="D296">
        <v>83187216</v>
      </c>
      <c r="E296">
        <v>-108100000</v>
      </c>
      <c r="F296">
        <v>90000000</v>
      </c>
      <c r="G296" t="s">
        <v>201</v>
      </c>
    </row>
    <row r="297" spans="1:7" hidden="1" x14ac:dyDescent="0.25">
      <c r="A297" t="s">
        <v>488</v>
      </c>
      <c r="B297" t="s">
        <v>188</v>
      </c>
      <c r="C297" t="s">
        <v>179</v>
      </c>
      <c r="D297">
        <v>93487216</v>
      </c>
      <c r="E297">
        <v>-100900000</v>
      </c>
      <c r="F297">
        <v>0</v>
      </c>
      <c r="G297" t="s">
        <v>201</v>
      </c>
    </row>
    <row r="298" spans="1:7" hidden="1" x14ac:dyDescent="0.25">
      <c r="A298" t="s">
        <v>489</v>
      </c>
      <c r="B298" t="s">
        <v>178</v>
      </c>
      <c r="C298" t="s">
        <v>179</v>
      </c>
      <c r="D298">
        <v>82362216</v>
      </c>
      <c r="E298">
        <v>-98400000</v>
      </c>
      <c r="F298">
        <v>0</v>
      </c>
      <c r="G298" t="s">
        <v>201</v>
      </c>
    </row>
    <row r="299" spans="1:7" hidden="1" x14ac:dyDescent="0.25">
      <c r="A299" t="s">
        <v>490</v>
      </c>
      <c r="B299" t="s">
        <v>491</v>
      </c>
      <c r="C299" t="s">
        <v>179</v>
      </c>
      <c r="D299">
        <v>93387216</v>
      </c>
      <c r="E299">
        <v>-102600000</v>
      </c>
      <c r="F299">
        <v>180000000</v>
      </c>
      <c r="G299" t="s">
        <v>201</v>
      </c>
    </row>
    <row r="300" spans="1:7" hidden="1" x14ac:dyDescent="0.25">
      <c r="A300" t="s">
        <v>492</v>
      </c>
      <c r="B300" t="s">
        <v>188</v>
      </c>
      <c r="C300" t="s">
        <v>179</v>
      </c>
      <c r="D300">
        <v>92687216</v>
      </c>
      <c r="E300">
        <v>-97875000</v>
      </c>
      <c r="F300">
        <v>90000000</v>
      </c>
      <c r="G300" t="s">
        <v>201</v>
      </c>
    </row>
    <row r="301" spans="1:7" hidden="1" x14ac:dyDescent="0.25">
      <c r="A301" t="s">
        <v>493</v>
      </c>
      <c r="B301" t="s">
        <v>494</v>
      </c>
      <c r="C301" t="s">
        <v>179</v>
      </c>
      <c r="D301">
        <v>88487216</v>
      </c>
      <c r="E301">
        <v>-89675000</v>
      </c>
      <c r="F301">
        <v>-90000000</v>
      </c>
      <c r="G301" t="s">
        <v>201</v>
      </c>
    </row>
    <row r="302" spans="1:7" hidden="1" x14ac:dyDescent="0.25">
      <c r="A302" t="s">
        <v>495</v>
      </c>
      <c r="B302" t="s">
        <v>494</v>
      </c>
      <c r="C302" t="s">
        <v>179</v>
      </c>
      <c r="D302">
        <v>92312216</v>
      </c>
      <c r="E302">
        <v>-93900000</v>
      </c>
      <c r="F302">
        <v>0</v>
      </c>
      <c r="G302" t="s">
        <v>201</v>
      </c>
    </row>
    <row r="303" spans="1:7" hidden="1" x14ac:dyDescent="0.25">
      <c r="A303" t="s">
        <v>496</v>
      </c>
      <c r="B303" t="s">
        <v>494</v>
      </c>
      <c r="C303" t="s">
        <v>179</v>
      </c>
      <c r="D303">
        <v>94957216</v>
      </c>
      <c r="E303">
        <v>-81655000</v>
      </c>
      <c r="F303">
        <v>90000000</v>
      </c>
      <c r="G303" t="s">
        <v>201</v>
      </c>
    </row>
    <row r="304" spans="1:7" hidden="1" x14ac:dyDescent="0.25">
      <c r="A304" t="s">
        <v>497</v>
      </c>
      <c r="B304" t="s">
        <v>494</v>
      </c>
      <c r="C304" t="s">
        <v>179</v>
      </c>
      <c r="D304">
        <v>95682216</v>
      </c>
      <c r="E304">
        <v>-78930000</v>
      </c>
      <c r="F304">
        <v>180000000</v>
      </c>
      <c r="G304" t="s">
        <v>201</v>
      </c>
    </row>
    <row r="305" spans="1:7" hidden="1" x14ac:dyDescent="0.25">
      <c r="A305" t="s">
        <v>498</v>
      </c>
      <c r="B305" t="s">
        <v>478</v>
      </c>
      <c r="C305" t="s">
        <v>179</v>
      </c>
      <c r="D305">
        <v>73128465</v>
      </c>
      <c r="E305">
        <v>-138300000</v>
      </c>
      <c r="F305">
        <v>0</v>
      </c>
      <c r="G305" t="s">
        <v>201</v>
      </c>
    </row>
    <row r="306" spans="1:7" hidden="1" x14ac:dyDescent="0.25">
      <c r="A306" t="s">
        <v>499</v>
      </c>
      <c r="B306" t="s">
        <v>478</v>
      </c>
      <c r="C306" t="s">
        <v>179</v>
      </c>
      <c r="D306">
        <v>73128465</v>
      </c>
      <c r="E306">
        <v>-140800000</v>
      </c>
      <c r="F306">
        <v>0</v>
      </c>
      <c r="G306" t="s">
        <v>201</v>
      </c>
    </row>
    <row r="307" spans="1:7" hidden="1" x14ac:dyDescent="0.25">
      <c r="A307" t="s">
        <v>500</v>
      </c>
      <c r="B307" t="s">
        <v>478</v>
      </c>
      <c r="C307" t="s">
        <v>179</v>
      </c>
      <c r="D307">
        <v>73128465</v>
      </c>
      <c r="E307">
        <v>-143300000</v>
      </c>
      <c r="F307">
        <v>0</v>
      </c>
      <c r="G307" t="s">
        <v>201</v>
      </c>
    </row>
    <row r="308" spans="1:7" hidden="1" x14ac:dyDescent="0.25">
      <c r="A308" t="s">
        <v>501</v>
      </c>
      <c r="B308" t="s">
        <v>478</v>
      </c>
      <c r="C308" t="s">
        <v>179</v>
      </c>
      <c r="D308">
        <v>73128465</v>
      </c>
      <c r="E308">
        <v>-145800000</v>
      </c>
      <c r="F308">
        <v>0</v>
      </c>
      <c r="G308" t="s">
        <v>201</v>
      </c>
    </row>
    <row r="309" spans="1:7" hidden="1" x14ac:dyDescent="0.25">
      <c r="A309" t="s">
        <v>502</v>
      </c>
      <c r="B309" t="s">
        <v>478</v>
      </c>
      <c r="C309" t="s">
        <v>179</v>
      </c>
      <c r="D309">
        <v>73103465</v>
      </c>
      <c r="E309">
        <v>-148300000</v>
      </c>
      <c r="F309">
        <v>0</v>
      </c>
      <c r="G309" t="s">
        <v>201</v>
      </c>
    </row>
    <row r="310" spans="1:7" hidden="1" x14ac:dyDescent="0.25">
      <c r="A310" t="s">
        <v>503</v>
      </c>
      <c r="B310" t="s">
        <v>484</v>
      </c>
      <c r="C310" t="s">
        <v>179</v>
      </c>
      <c r="D310">
        <v>81603465</v>
      </c>
      <c r="E310">
        <v>-151900000</v>
      </c>
      <c r="F310">
        <v>-90000000</v>
      </c>
      <c r="G310" t="s">
        <v>201</v>
      </c>
    </row>
    <row r="311" spans="1:7" hidden="1" x14ac:dyDescent="0.25">
      <c r="A311" t="s">
        <v>504</v>
      </c>
      <c r="B311" t="s">
        <v>486</v>
      </c>
      <c r="C311" t="s">
        <v>432</v>
      </c>
      <c r="D311">
        <v>84303465</v>
      </c>
      <c r="E311">
        <v>-162200000</v>
      </c>
      <c r="F311">
        <v>180000000</v>
      </c>
      <c r="G311" t="s">
        <v>201</v>
      </c>
    </row>
    <row r="312" spans="1:7" hidden="1" x14ac:dyDescent="0.25">
      <c r="A312" t="s">
        <v>505</v>
      </c>
      <c r="B312" t="s">
        <v>484</v>
      </c>
      <c r="C312" t="s">
        <v>179</v>
      </c>
      <c r="D312">
        <v>83203465</v>
      </c>
      <c r="E312">
        <v>-151900000</v>
      </c>
      <c r="F312">
        <v>90000000</v>
      </c>
      <c r="G312" t="s">
        <v>201</v>
      </c>
    </row>
    <row r="313" spans="1:7" hidden="1" x14ac:dyDescent="0.25">
      <c r="A313" t="s">
        <v>506</v>
      </c>
      <c r="B313" t="s">
        <v>188</v>
      </c>
      <c r="C313" t="s">
        <v>179</v>
      </c>
      <c r="D313">
        <v>93503465</v>
      </c>
      <c r="E313">
        <v>-144700000</v>
      </c>
      <c r="F313">
        <v>0</v>
      </c>
      <c r="G313" t="s">
        <v>201</v>
      </c>
    </row>
    <row r="314" spans="1:7" hidden="1" x14ac:dyDescent="0.25">
      <c r="A314" t="s">
        <v>507</v>
      </c>
      <c r="B314" t="s">
        <v>178</v>
      </c>
      <c r="C314" t="s">
        <v>179</v>
      </c>
      <c r="D314">
        <v>82378465</v>
      </c>
      <c r="E314">
        <v>-142200000</v>
      </c>
      <c r="F314">
        <v>0</v>
      </c>
      <c r="G314" t="s">
        <v>201</v>
      </c>
    </row>
    <row r="315" spans="1:7" hidden="1" x14ac:dyDescent="0.25">
      <c r="A315" t="s">
        <v>508</v>
      </c>
      <c r="B315" t="s">
        <v>491</v>
      </c>
      <c r="C315" t="s">
        <v>179</v>
      </c>
      <c r="D315">
        <v>93403465</v>
      </c>
      <c r="E315">
        <v>-146400000</v>
      </c>
      <c r="F315">
        <v>180000000</v>
      </c>
      <c r="G315" t="s">
        <v>201</v>
      </c>
    </row>
    <row r="316" spans="1:7" hidden="1" x14ac:dyDescent="0.25">
      <c r="A316" t="s">
        <v>509</v>
      </c>
      <c r="B316" t="s">
        <v>188</v>
      </c>
      <c r="C316" t="s">
        <v>179</v>
      </c>
      <c r="D316">
        <v>92703465</v>
      </c>
      <c r="E316">
        <v>-141675000</v>
      </c>
      <c r="F316">
        <v>90000000</v>
      </c>
      <c r="G316" t="s">
        <v>201</v>
      </c>
    </row>
    <row r="317" spans="1:7" hidden="1" x14ac:dyDescent="0.25">
      <c r="A317" t="s">
        <v>510</v>
      </c>
      <c r="B317" t="s">
        <v>494</v>
      </c>
      <c r="C317" t="s">
        <v>179</v>
      </c>
      <c r="D317">
        <v>88503465</v>
      </c>
      <c r="E317">
        <v>-133475000</v>
      </c>
      <c r="F317">
        <v>-90000000</v>
      </c>
      <c r="G317" t="s">
        <v>201</v>
      </c>
    </row>
    <row r="318" spans="1:7" hidden="1" x14ac:dyDescent="0.25">
      <c r="A318" t="s">
        <v>511</v>
      </c>
      <c r="B318" t="s">
        <v>494</v>
      </c>
      <c r="C318" t="s">
        <v>179</v>
      </c>
      <c r="D318">
        <v>92328465</v>
      </c>
      <c r="E318">
        <v>-137700000</v>
      </c>
      <c r="F318">
        <v>0</v>
      </c>
      <c r="G318" t="s">
        <v>201</v>
      </c>
    </row>
    <row r="319" spans="1:7" hidden="1" x14ac:dyDescent="0.25">
      <c r="A319" t="s">
        <v>512</v>
      </c>
      <c r="B319" t="s">
        <v>494</v>
      </c>
      <c r="C319" t="s">
        <v>179</v>
      </c>
      <c r="D319">
        <v>94957216</v>
      </c>
      <c r="E319">
        <v>-125455000</v>
      </c>
      <c r="F319">
        <v>90000000</v>
      </c>
      <c r="G319" t="s">
        <v>201</v>
      </c>
    </row>
    <row r="320" spans="1:7" hidden="1" x14ac:dyDescent="0.25">
      <c r="A320" t="s">
        <v>513</v>
      </c>
      <c r="B320" t="s">
        <v>494</v>
      </c>
      <c r="C320" t="s">
        <v>179</v>
      </c>
      <c r="D320">
        <v>95682216</v>
      </c>
      <c r="E320">
        <v>-122730000</v>
      </c>
      <c r="F320">
        <v>180000000</v>
      </c>
      <c r="G320" t="s">
        <v>201</v>
      </c>
    </row>
    <row r="321" spans="1:7" hidden="1" x14ac:dyDescent="0.25">
      <c r="A321" t="s">
        <v>514</v>
      </c>
      <c r="B321" t="s">
        <v>478</v>
      </c>
      <c r="C321" t="s">
        <v>179</v>
      </c>
      <c r="D321">
        <v>73128465</v>
      </c>
      <c r="E321">
        <v>-182100000</v>
      </c>
      <c r="F321">
        <v>0</v>
      </c>
      <c r="G321" t="s">
        <v>201</v>
      </c>
    </row>
    <row r="322" spans="1:7" hidden="1" x14ac:dyDescent="0.25">
      <c r="A322" t="s">
        <v>515</v>
      </c>
      <c r="B322" t="s">
        <v>478</v>
      </c>
      <c r="C322" t="s">
        <v>179</v>
      </c>
      <c r="D322">
        <v>73128465</v>
      </c>
      <c r="E322">
        <v>-184600000</v>
      </c>
      <c r="F322">
        <v>0</v>
      </c>
      <c r="G322" t="s">
        <v>201</v>
      </c>
    </row>
    <row r="323" spans="1:7" hidden="1" x14ac:dyDescent="0.25">
      <c r="A323" t="s">
        <v>516</v>
      </c>
      <c r="B323" t="s">
        <v>478</v>
      </c>
      <c r="C323" t="s">
        <v>179</v>
      </c>
      <c r="D323">
        <v>73128465</v>
      </c>
      <c r="E323">
        <v>-187100000</v>
      </c>
      <c r="F323">
        <v>0</v>
      </c>
      <c r="G323" t="s">
        <v>201</v>
      </c>
    </row>
    <row r="324" spans="1:7" hidden="1" x14ac:dyDescent="0.25">
      <c r="A324" t="s">
        <v>517</v>
      </c>
      <c r="B324" t="s">
        <v>478</v>
      </c>
      <c r="C324" t="s">
        <v>179</v>
      </c>
      <c r="D324">
        <v>73128465</v>
      </c>
      <c r="E324">
        <v>-189600000</v>
      </c>
      <c r="F324">
        <v>0</v>
      </c>
      <c r="G324" t="s">
        <v>201</v>
      </c>
    </row>
    <row r="325" spans="1:7" hidden="1" x14ac:dyDescent="0.25">
      <c r="A325" t="s">
        <v>518</v>
      </c>
      <c r="B325" t="s">
        <v>478</v>
      </c>
      <c r="C325" t="s">
        <v>179</v>
      </c>
      <c r="D325">
        <v>73103465</v>
      </c>
      <c r="E325">
        <v>-192100000</v>
      </c>
      <c r="F325">
        <v>0</v>
      </c>
      <c r="G325" t="s">
        <v>201</v>
      </c>
    </row>
    <row r="326" spans="1:7" hidden="1" x14ac:dyDescent="0.25">
      <c r="A326" t="s">
        <v>519</v>
      </c>
      <c r="B326" t="s">
        <v>484</v>
      </c>
      <c r="C326" t="s">
        <v>179</v>
      </c>
      <c r="D326">
        <v>81603465</v>
      </c>
      <c r="E326">
        <v>-195700000</v>
      </c>
      <c r="F326">
        <v>-90000000</v>
      </c>
      <c r="G326" t="s">
        <v>201</v>
      </c>
    </row>
    <row r="327" spans="1:7" hidden="1" x14ac:dyDescent="0.25">
      <c r="A327" t="s">
        <v>520</v>
      </c>
      <c r="B327" t="s">
        <v>486</v>
      </c>
      <c r="C327" t="s">
        <v>432</v>
      </c>
      <c r="D327">
        <v>84303465</v>
      </c>
      <c r="E327">
        <v>-206000000</v>
      </c>
      <c r="F327">
        <v>180000000</v>
      </c>
      <c r="G327" t="s">
        <v>201</v>
      </c>
    </row>
    <row r="328" spans="1:7" hidden="1" x14ac:dyDescent="0.25">
      <c r="A328" t="s">
        <v>521</v>
      </c>
      <c r="B328" t="s">
        <v>484</v>
      </c>
      <c r="C328" t="s">
        <v>179</v>
      </c>
      <c r="D328">
        <v>83203465</v>
      </c>
      <c r="E328">
        <v>-195700000</v>
      </c>
      <c r="F328">
        <v>90000000</v>
      </c>
      <c r="G328" t="s">
        <v>201</v>
      </c>
    </row>
    <row r="329" spans="1:7" hidden="1" x14ac:dyDescent="0.25">
      <c r="A329" t="s">
        <v>522</v>
      </c>
      <c r="B329" t="s">
        <v>188</v>
      </c>
      <c r="C329" t="s">
        <v>179</v>
      </c>
      <c r="D329">
        <v>93503465</v>
      </c>
      <c r="E329">
        <v>-188500000</v>
      </c>
      <c r="F329">
        <v>0</v>
      </c>
      <c r="G329" t="s">
        <v>201</v>
      </c>
    </row>
    <row r="330" spans="1:7" hidden="1" x14ac:dyDescent="0.25">
      <c r="A330" t="s">
        <v>523</v>
      </c>
      <c r="B330" t="s">
        <v>178</v>
      </c>
      <c r="C330" t="s">
        <v>179</v>
      </c>
      <c r="D330">
        <v>82403465</v>
      </c>
      <c r="E330">
        <v>-186000000</v>
      </c>
      <c r="F330">
        <v>0</v>
      </c>
      <c r="G330" t="s">
        <v>201</v>
      </c>
    </row>
    <row r="331" spans="1:7" hidden="1" x14ac:dyDescent="0.25">
      <c r="A331" t="s">
        <v>524</v>
      </c>
      <c r="B331" t="s">
        <v>491</v>
      </c>
      <c r="C331" t="s">
        <v>179</v>
      </c>
      <c r="D331">
        <v>93403465</v>
      </c>
      <c r="E331">
        <v>-190200000</v>
      </c>
      <c r="F331">
        <v>180000000</v>
      </c>
      <c r="G331" t="s">
        <v>201</v>
      </c>
    </row>
    <row r="332" spans="1:7" hidden="1" x14ac:dyDescent="0.25">
      <c r="A332" t="s">
        <v>525</v>
      </c>
      <c r="B332" t="s">
        <v>188</v>
      </c>
      <c r="C332" t="s">
        <v>179</v>
      </c>
      <c r="D332">
        <v>92703465</v>
      </c>
      <c r="E332">
        <v>-185475000</v>
      </c>
      <c r="F332">
        <v>90000000</v>
      </c>
      <c r="G332" t="s">
        <v>201</v>
      </c>
    </row>
    <row r="333" spans="1:7" hidden="1" x14ac:dyDescent="0.25">
      <c r="A333" t="s">
        <v>526</v>
      </c>
      <c r="B333" t="s">
        <v>494</v>
      </c>
      <c r="C333" t="s">
        <v>179</v>
      </c>
      <c r="D333">
        <v>88503465</v>
      </c>
      <c r="E333">
        <v>-177275000</v>
      </c>
      <c r="F333">
        <v>-90000000</v>
      </c>
      <c r="G333" t="s">
        <v>201</v>
      </c>
    </row>
    <row r="334" spans="1:7" hidden="1" x14ac:dyDescent="0.25">
      <c r="A334" t="s">
        <v>527</v>
      </c>
      <c r="B334" t="s">
        <v>494</v>
      </c>
      <c r="C334" t="s">
        <v>179</v>
      </c>
      <c r="D334">
        <v>92328465</v>
      </c>
      <c r="E334">
        <v>-181500000</v>
      </c>
      <c r="F334">
        <v>0</v>
      </c>
      <c r="G334" t="s">
        <v>201</v>
      </c>
    </row>
    <row r="335" spans="1:7" hidden="1" x14ac:dyDescent="0.25">
      <c r="A335" t="s">
        <v>528</v>
      </c>
      <c r="B335" t="s">
        <v>494</v>
      </c>
      <c r="C335" t="s">
        <v>179</v>
      </c>
      <c r="D335">
        <v>94957216</v>
      </c>
      <c r="E335">
        <v>-169255000</v>
      </c>
      <c r="F335">
        <v>90000000</v>
      </c>
      <c r="G335" t="s">
        <v>201</v>
      </c>
    </row>
    <row r="336" spans="1:7" hidden="1" x14ac:dyDescent="0.25">
      <c r="A336" t="s">
        <v>529</v>
      </c>
      <c r="B336" t="s">
        <v>494</v>
      </c>
      <c r="C336" t="s">
        <v>179</v>
      </c>
      <c r="D336">
        <v>95682216</v>
      </c>
      <c r="E336">
        <v>-166530000</v>
      </c>
      <c r="F336">
        <v>180000000</v>
      </c>
      <c r="G336" t="s">
        <v>201</v>
      </c>
    </row>
    <row r="337" spans="1:7" hidden="1" x14ac:dyDescent="0.25">
      <c r="A337" t="s">
        <v>530</v>
      </c>
      <c r="B337" t="s">
        <v>531</v>
      </c>
      <c r="C337" t="s">
        <v>179</v>
      </c>
      <c r="D337">
        <v>139100000</v>
      </c>
      <c r="E337">
        <v>-166000000</v>
      </c>
      <c r="F337">
        <v>90000000</v>
      </c>
      <c r="G337" t="s">
        <v>201</v>
      </c>
    </row>
    <row r="338" spans="1:7" hidden="1" x14ac:dyDescent="0.25">
      <c r="A338" t="s">
        <v>532</v>
      </c>
      <c r="B338" t="s">
        <v>531</v>
      </c>
      <c r="C338" t="s">
        <v>179</v>
      </c>
      <c r="D338">
        <v>140600000</v>
      </c>
      <c r="E338">
        <v>-166000000</v>
      </c>
      <c r="F338">
        <v>-90000000</v>
      </c>
      <c r="G338" t="s">
        <v>201</v>
      </c>
    </row>
    <row r="339" spans="1:7" hidden="1" x14ac:dyDescent="0.25">
      <c r="A339" t="s">
        <v>533</v>
      </c>
      <c r="B339" t="s">
        <v>484</v>
      </c>
      <c r="C339" t="s">
        <v>179</v>
      </c>
      <c r="D339">
        <v>145700000</v>
      </c>
      <c r="E339">
        <v>-156100000</v>
      </c>
      <c r="F339">
        <v>-90000000</v>
      </c>
      <c r="G339" t="s">
        <v>201</v>
      </c>
    </row>
    <row r="340" spans="1:7" hidden="1" x14ac:dyDescent="0.25">
      <c r="A340" t="s">
        <v>534</v>
      </c>
      <c r="B340" t="s">
        <v>484</v>
      </c>
      <c r="C340" t="s">
        <v>179</v>
      </c>
      <c r="D340">
        <v>147200000</v>
      </c>
      <c r="E340">
        <v>-156100000</v>
      </c>
      <c r="F340">
        <v>90000000</v>
      </c>
      <c r="G340" t="s">
        <v>201</v>
      </c>
    </row>
    <row r="341" spans="1:7" hidden="1" x14ac:dyDescent="0.25">
      <c r="A341" t="s">
        <v>535</v>
      </c>
      <c r="B341" t="s">
        <v>536</v>
      </c>
      <c r="C341" t="s">
        <v>179</v>
      </c>
      <c r="D341">
        <v>137200000</v>
      </c>
      <c r="E341">
        <v>-164200000</v>
      </c>
      <c r="F341">
        <v>90000000</v>
      </c>
      <c r="G341" t="s">
        <v>201</v>
      </c>
    </row>
    <row r="342" spans="1:7" hidden="1" x14ac:dyDescent="0.25">
      <c r="A342" t="s">
        <v>35</v>
      </c>
      <c r="B342" t="s">
        <v>537</v>
      </c>
      <c r="C342" t="s">
        <v>179</v>
      </c>
      <c r="D342">
        <v>134200000</v>
      </c>
      <c r="E342">
        <v>-164200000</v>
      </c>
      <c r="F342">
        <v>90000000</v>
      </c>
      <c r="G342" t="s">
        <v>201</v>
      </c>
    </row>
    <row r="343" spans="1:7" hidden="1" x14ac:dyDescent="0.25">
      <c r="A343" t="s">
        <v>62</v>
      </c>
      <c r="B343" t="s">
        <v>538</v>
      </c>
      <c r="C343" t="s">
        <v>179</v>
      </c>
      <c r="D343">
        <v>146600000</v>
      </c>
      <c r="E343">
        <v>-166000000</v>
      </c>
      <c r="F343">
        <v>90000000</v>
      </c>
      <c r="G343" t="s">
        <v>201</v>
      </c>
    </row>
    <row r="344" spans="1:7" hidden="1" x14ac:dyDescent="0.25">
      <c r="A344" t="s">
        <v>539</v>
      </c>
      <c r="B344" t="s">
        <v>185</v>
      </c>
      <c r="C344" t="s">
        <v>179</v>
      </c>
      <c r="D344">
        <v>145100000</v>
      </c>
      <c r="E344">
        <v>-166000000</v>
      </c>
      <c r="F344">
        <v>-90000000</v>
      </c>
      <c r="G344" t="s">
        <v>201</v>
      </c>
    </row>
    <row r="345" spans="1:7" hidden="1" x14ac:dyDescent="0.25">
      <c r="A345" t="s">
        <v>30</v>
      </c>
      <c r="B345" t="s">
        <v>540</v>
      </c>
      <c r="C345" t="s">
        <v>432</v>
      </c>
      <c r="D345">
        <v>119900000</v>
      </c>
      <c r="E345">
        <v>-175100000</v>
      </c>
      <c r="F345">
        <v>-90000000</v>
      </c>
      <c r="G345" t="s">
        <v>201</v>
      </c>
    </row>
    <row r="346" spans="1:7" hidden="1" x14ac:dyDescent="0.25">
      <c r="A346" t="s">
        <v>541</v>
      </c>
      <c r="B346" t="s">
        <v>133</v>
      </c>
      <c r="C346" t="s">
        <v>542</v>
      </c>
      <c r="D346">
        <v>110100000</v>
      </c>
      <c r="E346">
        <v>-88997500</v>
      </c>
      <c r="F346">
        <v>0</v>
      </c>
      <c r="G346" t="s">
        <v>201</v>
      </c>
    </row>
    <row r="347" spans="1:7" hidden="1" x14ac:dyDescent="0.25">
      <c r="A347" t="s">
        <v>543</v>
      </c>
      <c r="B347" t="s">
        <v>113</v>
      </c>
      <c r="C347" t="s">
        <v>544</v>
      </c>
      <c r="D347">
        <v>145000000</v>
      </c>
      <c r="E347">
        <v>-95057500</v>
      </c>
      <c r="F347">
        <v>0</v>
      </c>
      <c r="G347" t="s">
        <v>201</v>
      </c>
    </row>
    <row r="348" spans="1:7" hidden="1" x14ac:dyDescent="0.25">
      <c r="A348" t="s">
        <v>545</v>
      </c>
      <c r="B348" t="s">
        <v>133</v>
      </c>
      <c r="C348" t="s">
        <v>542</v>
      </c>
      <c r="D348">
        <v>110096415</v>
      </c>
      <c r="E348">
        <v>-113697500</v>
      </c>
      <c r="F348">
        <v>0</v>
      </c>
      <c r="G348" t="s">
        <v>201</v>
      </c>
    </row>
    <row r="349" spans="1:7" hidden="1" x14ac:dyDescent="0.25">
      <c r="A349" t="s">
        <v>546</v>
      </c>
      <c r="B349" t="s">
        <v>113</v>
      </c>
      <c r="C349" t="s">
        <v>544</v>
      </c>
      <c r="D349">
        <v>144996415</v>
      </c>
      <c r="E349">
        <v>-119757500</v>
      </c>
      <c r="F349">
        <v>0</v>
      </c>
      <c r="G349" t="s">
        <v>201</v>
      </c>
    </row>
    <row r="350" spans="1:7" hidden="1" x14ac:dyDescent="0.25">
      <c r="A350" t="s">
        <v>547</v>
      </c>
      <c r="B350" t="s">
        <v>133</v>
      </c>
      <c r="C350" t="s">
        <v>542</v>
      </c>
      <c r="D350">
        <v>110096415</v>
      </c>
      <c r="E350">
        <v>-138347500</v>
      </c>
      <c r="F350">
        <v>0</v>
      </c>
      <c r="G350" t="s">
        <v>201</v>
      </c>
    </row>
    <row r="351" spans="1:7" hidden="1" x14ac:dyDescent="0.25">
      <c r="A351" t="s">
        <v>548</v>
      </c>
      <c r="B351" t="s">
        <v>113</v>
      </c>
      <c r="C351" t="s">
        <v>544</v>
      </c>
      <c r="D351">
        <v>144996415</v>
      </c>
      <c r="E351">
        <v>-144407500</v>
      </c>
      <c r="F351">
        <v>0</v>
      </c>
      <c r="G351" t="s">
        <v>201</v>
      </c>
    </row>
    <row r="352" spans="1:7" hidden="1" x14ac:dyDescent="0.25">
      <c r="A352" t="s">
        <v>549</v>
      </c>
      <c r="B352" t="s">
        <v>113</v>
      </c>
      <c r="C352" t="s">
        <v>544</v>
      </c>
      <c r="D352">
        <v>85287216</v>
      </c>
      <c r="E352">
        <v>-94542500</v>
      </c>
      <c r="F352">
        <v>180000000</v>
      </c>
      <c r="G352" t="s">
        <v>201</v>
      </c>
    </row>
    <row r="353" spans="1:7" hidden="1" x14ac:dyDescent="0.25">
      <c r="A353" t="s">
        <v>550</v>
      </c>
      <c r="B353" t="s">
        <v>113</v>
      </c>
      <c r="C353" t="s">
        <v>544</v>
      </c>
      <c r="D353">
        <v>85303465</v>
      </c>
      <c r="E353">
        <v>-138342500</v>
      </c>
      <c r="F353">
        <v>180000000</v>
      </c>
      <c r="G353" t="s">
        <v>201</v>
      </c>
    </row>
    <row r="354" spans="1:7" hidden="1" x14ac:dyDescent="0.25">
      <c r="A354" t="s">
        <v>551</v>
      </c>
      <c r="B354" t="s">
        <v>113</v>
      </c>
      <c r="C354" t="s">
        <v>544</v>
      </c>
      <c r="D354">
        <v>85303465</v>
      </c>
      <c r="E354">
        <v>-182142500</v>
      </c>
      <c r="F354">
        <v>180000000</v>
      </c>
      <c r="G354" t="s">
        <v>201</v>
      </c>
    </row>
    <row r="355" spans="1:7" hidden="1" x14ac:dyDescent="0.25">
      <c r="A355" t="s">
        <v>552</v>
      </c>
      <c r="B355" t="s">
        <v>71</v>
      </c>
      <c r="C355" t="s">
        <v>358</v>
      </c>
      <c r="D355">
        <v>97887216</v>
      </c>
      <c r="E355">
        <v>-103400000</v>
      </c>
      <c r="F355">
        <v>90000000</v>
      </c>
      <c r="G355" t="s">
        <v>201</v>
      </c>
    </row>
    <row r="356" spans="1:7" hidden="1" x14ac:dyDescent="0.25">
      <c r="A356" t="s">
        <v>553</v>
      </c>
      <c r="B356" t="s">
        <v>71</v>
      </c>
      <c r="C356" t="s">
        <v>358</v>
      </c>
      <c r="D356">
        <v>97903465</v>
      </c>
      <c r="E356">
        <v>-147200000</v>
      </c>
      <c r="F356">
        <v>90000000</v>
      </c>
      <c r="G356" t="s">
        <v>201</v>
      </c>
    </row>
    <row r="357" spans="1:7" hidden="1" x14ac:dyDescent="0.25">
      <c r="A357" t="s">
        <v>554</v>
      </c>
      <c r="B357" t="s">
        <v>71</v>
      </c>
      <c r="C357" t="s">
        <v>358</v>
      </c>
      <c r="D357">
        <v>97903465</v>
      </c>
      <c r="E357">
        <v>-191000000</v>
      </c>
      <c r="F357">
        <v>90000000</v>
      </c>
      <c r="G357" t="s">
        <v>201</v>
      </c>
    </row>
    <row r="358" spans="1:7" hidden="1" x14ac:dyDescent="0.25">
      <c r="A358" t="s">
        <v>555</v>
      </c>
      <c r="B358" t="s">
        <v>88</v>
      </c>
      <c r="C358" t="s">
        <v>556</v>
      </c>
      <c r="D358">
        <v>134000000</v>
      </c>
      <c r="E358">
        <v>-95300000</v>
      </c>
      <c r="F358">
        <v>0</v>
      </c>
      <c r="G358" t="s">
        <v>201</v>
      </c>
    </row>
    <row r="359" spans="1:7" hidden="1" x14ac:dyDescent="0.25">
      <c r="A359" t="s">
        <v>557</v>
      </c>
      <c r="B359" t="s">
        <v>88</v>
      </c>
      <c r="C359" t="s">
        <v>556</v>
      </c>
      <c r="D359">
        <v>133996415</v>
      </c>
      <c r="E359">
        <v>-120000000</v>
      </c>
      <c r="F359">
        <v>0</v>
      </c>
      <c r="G359" t="s">
        <v>201</v>
      </c>
    </row>
    <row r="360" spans="1:7" hidden="1" x14ac:dyDescent="0.25">
      <c r="A360" t="s">
        <v>558</v>
      </c>
      <c r="B360" t="s">
        <v>88</v>
      </c>
      <c r="C360" t="s">
        <v>556</v>
      </c>
      <c r="D360">
        <v>133996415</v>
      </c>
      <c r="E360">
        <v>-144650000</v>
      </c>
      <c r="F360">
        <v>0</v>
      </c>
      <c r="G360" t="s">
        <v>201</v>
      </c>
    </row>
    <row r="361" spans="1:7" hidden="1" x14ac:dyDescent="0.25">
      <c r="A361" t="s">
        <v>559</v>
      </c>
      <c r="B361" t="s">
        <v>90</v>
      </c>
      <c r="C361" t="s">
        <v>560</v>
      </c>
      <c r="D361">
        <v>87914566</v>
      </c>
      <c r="E361">
        <v>-100974999</v>
      </c>
      <c r="F361">
        <v>0</v>
      </c>
      <c r="G361" t="s">
        <v>201</v>
      </c>
    </row>
    <row r="362" spans="1:7" hidden="1" x14ac:dyDescent="0.25">
      <c r="A362" t="s">
        <v>561</v>
      </c>
      <c r="B362" t="s">
        <v>90</v>
      </c>
      <c r="C362" t="s">
        <v>560</v>
      </c>
      <c r="D362">
        <v>87930815</v>
      </c>
      <c r="E362">
        <v>-144774999</v>
      </c>
      <c r="F362">
        <v>0</v>
      </c>
      <c r="G362" t="s">
        <v>201</v>
      </c>
    </row>
    <row r="363" spans="1:7" hidden="1" x14ac:dyDescent="0.25">
      <c r="A363" t="s">
        <v>562</v>
      </c>
      <c r="B363" t="s">
        <v>90</v>
      </c>
      <c r="C363" t="s">
        <v>560</v>
      </c>
      <c r="D363">
        <v>87930815</v>
      </c>
      <c r="E363">
        <v>-188574999</v>
      </c>
      <c r="F363">
        <v>0</v>
      </c>
      <c r="G363" t="s">
        <v>201</v>
      </c>
    </row>
    <row r="364" spans="1:7" hidden="1" x14ac:dyDescent="0.25">
      <c r="A364" t="s">
        <v>118</v>
      </c>
      <c r="B364" t="s">
        <v>119</v>
      </c>
      <c r="C364" t="s">
        <v>563</v>
      </c>
      <c r="D364">
        <v>139725000</v>
      </c>
      <c r="E364">
        <v>-158850000</v>
      </c>
      <c r="F364">
        <v>90000000</v>
      </c>
      <c r="G364" t="s">
        <v>201</v>
      </c>
    </row>
    <row r="365" spans="1:7" hidden="1" x14ac:dyDescent="0.25">
      <c r="A365" t="s">
        <v>564</v>
      </c>
      <c r="B365" t="s">
        <v>79</v>
      </c>
      <c r="C365" t="s">
        <v>195</v>
      </c>
      <c r="D365">
        <v>148600000</v>
      </c>
      <c r="E365">
        <v>-171700000</v>
      </c>
      <c r="F365">
        <v>0</v>
      </c>
      <c r="G365" t="s">
        <v>201</v>
      </c>
    </row>
    <row r="366" spans="1:7" hidden="1" x14ac:dyDescent="0.25">
      <c r="A366" t="s">
        <v>565</v>
      </c>
      <c r="B366" t="s">
        <v>140</v>
      </c>
      <c r="C366" t="s">
        <v>566</v>
      </c>
      <c r="D366">
        <v>123900000</v>
      </c>
      <c r="E366">
        <v>-182400000</v>
      </c>
      <c r="F366">
        <v>0</v>
      </c>
      <c r="G366" t="s">
        <v>201</v>
      </c>
    </row>
    <row r="367" spans="1:7" hidden="1" x14ac:dyDescent="0.25">
      <c r="A367" t="s">
        <v>567</v>
      </c>
      <c r="B367" t="s">
        <v>140</v>
      </c>
      <c r="C367" t="s">
        <v>566</v>
      </c>
      <c r="D367">
        <v>110700000</v>
      </c>
      <c r="E367">
        <v>-182400000</v>
      </c>
      <c r="F367">
        <v>0</v>
      </c>
      <c r="G367" t="s">
        <v>201</v>
      </c>
    </row>
    <row r="368" spans="1:7" hidden="1" x14ac:dyDescent="0.25">
      <c r="A368" t="s">
        <v>568</v>
      </c>
      <c r="B368" t="s">
        <v>83</v>
      </c>
      <c r="C368" t="s">
        <v>193</v>
      </c>
      <c r="D368">
        <v>128600000</v>
      </c>
      <c r="E368">
        <v>-202300000</v>
      </c>
      <c r="F368">
        <v>0</v>
      </c>
      <c r="G368" t="s">
        <v>201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0F05B9-9D33-474C-A7C1-FBCA7E46EF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powerdistDGKY</vt:lpstr>
      <vt:lpstr>powerdistUNPLACED</vt:lpstr>
      <vt:lpstr>powerdist-all-pos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Helushka</dc:creator>
  <cp:lastModifiedBy>Nicholas Helushka</cp:lastModifiedBy>
  <dcterms:created xsi:type="dcterms:W3CDTF">2025-10-31T20:29:13Z</dcterms:created>
  <dcterms:modified xsi:type="dcterms:W3CDTF">2025-11-13T19:32:13Z</dcterms:modified>
</cp:coreProperties>
</file>